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workbookPr defaultThemeVersion="124226"/>
  <mc:AlternateContent xmlns:mc="http://schemas.openxmlformats.org/markup-compatibility/2006">
    <mc:Choice Requires="x15">
      <x15ac:absPath xmlns:x15ac="http://schemas.microsoft.com/office/spreadsheetml/2010/11/ac" url="D:\Donnees\eclipse\git\histonatcreator_git\histonatcreator\doc\"/>
    </mc:Choice>
  </mc:AlternateContent>
  <bookViews>
    <workbookView xWindow="120" yWindow="75" windowWidth="28515" windowHeight="12600" activeTab="6"/>
  </bookViews>
  <sheets>
    <sheet name="Types de contrôles" sheetId="1" r:id="rId1"/>
    <sheet name="Etude_Types" sheetId="2" r:id="rId2"/>
    <sheet name="Lieux" sheetId="3" r:id="rId3"/>
    <sheet name="Niveaux" sheetId="4" r:id="rId4"/>
    <sheet name="Type" sheetId="5" r:id="rId5"/>
    <sheet name="Concepts" sheetId="6" r:id="rId6"/>
    <sheet name="Exigences" sheetId="7" r:id="rId7"/>
    <sheet name="RG" sheetId="8" r:id="rId8"/>
  </sheets>
  <externalReferences>
    <externalReference r:id="rId9"/>
  </externalReferences>
  <definedNames>
    <definedName name="_xlnm._FilterDatabase" localSheetId="1" hidden="1">Etude_Types!$B$1:$D$47</definedName>
    <definedName name="controles" localSheetId="4" hidden="1">Type!$A$1:$B$19</definedName>
  </definedNames>
  <calcPr calcId="171027"/>
</workbook>
</file>

<file path=xl/calcChain.xml><?xml version="1.0" encoding="utf-8"?>
<calcChain xmlns="http://schemas.openxmlformats.org/spreadsheetml/2006/main">
  <c r="F18" i="8" l="1"/>
  <c r="F17" i="8"/>
  <c r="F16" i="8"/>
  <c r="F13" i="8" l="1"/>
  <c r="F15" i="8"/>
  <c r="K17" i="1" l="1"/>
  <c r="F5" i="8"/>
  <c r="F10" i="8" l="1"/>
  <c r="D10" i="8"/>
  <c r="D4" i="8"/>
  <c r="F4" i="8"/>
  <c r="F12" i="8"/>
  <c r="D9" i="8"/>
  <c r="F9" i="8"/>
  <c r="D8" i="8"/>
  <c r="F8" i="8"/>
  <c r="F7" i="8"/>
  <c r="D6" i="8"/>
  <c r="F6" i="8"/>
  <c r="F2" i="8"/>
  <c r="F11" i="8"/>
  <c r="F14" i="8"/>
  <c r="A1" i="3" l="1" a="1"/>
  <c r="A1" i="3" s="1"/>
  <c r="A3" i="3" l="1"/>
  <c r="B1" i="3"/>
  <c r="B3" i="3"/>
  <c r="B2" i="3"/>
  <c r="A2" i="3"/>
  <c r="K11" i="1"/>
  <c r="K4" i="1"/>
  <c r="K5" i="1"/>
  <c r="K6" i="1"/>
  <c r="K7" i="1"/>
  <c r="K8" i="1"/>
  <c r="K9" i="1"/>
  <c r="K10" i="1"/>
  <c r="K14" i="1"/>
  <c r="K15" i="1"/>
  <c r="K16" i="1"/>
  <c r="K3" i="1"/>
</calcChain>
</file>

<file path=xl/connections.xml><?xml version="1.0" encoding="utf-8"?>
<connections xmlns="http://schemas.openxmlformats.org/spreadsheetml/2006/main">
  <connection id="1" sourceFile="D:\Donnees\eclipse\eclipseworkspace\importateurstraficweb\doc\controles.mdb" keepAlive="1" name="controles" type="5" refreshedVersion="4" background="1" saveData="1">
    <dbPr connection="Provider=Microsoft.ACE.OLEDB.12.0;User ID=Admin;Data Source=D:\Donnees\eclipse\eclipseworkspace\importateurstraficweb\doc\controles.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ypes" commandType="3"/>
  </connection>
</connections>
</file>

<file path=xl/sharedStrings.xml><?xml version="1.0" encoding="utf-8"?>
<sst xmlns="http://schemas.openxmlformats.org/spreadsheetml/2006/main" count="642" uniqueCount="330">
  <si>
    <t>Niveau d'application du contrôle</t>
  </si>
  <si>
    <t>Type de contrôle</t>
  </si>
  <si>
    <t>Lieu d'application du contrôle</t>
  </si>
  <si>
    <t>Contrôle de surface</t>
  </si>
  <si>
    <t>CONTRÔLE</t>
  </si>
  <si>
    <t>Contrôle de nullité du fichier</t>
  </si>
  <si>
    <t>contrôle d'existence du fichier</t>
  </si>
  <si>
    <t>Contrôle du type simple du fichier (pas répertoire)</t>
  </si>
  <si>
    <t>Date contrôle</t>
  </si>
  <si>
    <t>Utilisateur</t>
  </si>
  <si>
    <t>Fichier</t>
  </si>
  <si>
    <t>DIRA</t>
  </si>
  <si>
    <t>Type Contrôle</t>
  </si>
  <si>
    <t>Contrôle</t>
  </si>
  <si>
    <t>Critère du contrôle</t>
  </si>
  <si>
    <t>Gravité du contrôle</t>
  </si>
  <si>
    <t>1-Anomalie bloquante</t>
  </si>
  <si>
    <t>Année de Traitement</t>
  </si>
  <si>
    <t>Contrôle fichier texte</t>
  </si>
  <si>
    <t>Contrôle de validité des Fichiers Entrants</t>
  </si>
  <si>
    <t>Traitement de transcodage du fichier en UTF-8</t>
  </si>
  <si>
    <t>Surface</t>
  </si>
  <si>
    <t>Contrôle du contenu du fichier (fichier pas vide)</t>
  </si>
  <si>
    <t>Contrôle d'encodage du fichier en UTF-8</t>
  </si>
  <si>
    <t>Traitement de surface</t>
  </si>
  <si>
    <t>Détection du fichier (HIT, HISTO_F07, HISTO_F08, DARWIN, FEOR_XML, …)</t>
  </si>
  <si>
    <t>Le fichier ne comporte aucun caractère indésirable</t>
  </si>
  <si>
    <t>DIRA_2014</t>
  </si>
  <si>
    <t>Le fichier doit être uniformément encodé en UTF-8</t>
  </si>
  <si>
    <t>Le type de fichier doit être détecté</t>
  </si>
  <si>
    <t>Numéro de ligne</t>
  </si>
  <si>
    <t>Message du contrôle</t>
  </si>
  <si>
    <t>Le fichier en entrée est null</t>
  </si>
  <si>
    <t>Le fichier en entrée n'existe pas</t>
  </si>
  <si>
    <t>Le fichier en entrée est un répertoire</t>
  </si>
  <si>
    <t>Le fichier en entrée est vide</t>
  </si>
  <si>
    <t>Le fichier en entrée n'est pas un fichier texte</t>
  </si>
  <si>
    <t>Le fichier doit pouvoir être transcodé en UTF-8</t>
  </si>
  <si>
    <t>Impossible de transcoder le fichier fourni en UTF-8</t>
  </si>
  <si>
    <t>Le fichier en entrée n'est pas transcodé en UTF-8</t>
  </si>
  <si>
    <t>Le type du fichier (HIT, HISTO_F07, …) n'est pas détectable</t>
  </si>
  <si>
    <t>Ordre du champ</t>
  </si>
  <si>
    <t>Position du champ</t>
  </si>
  <si>
    <t>Valeur du champ</t>
  </si>
  <si>
    <t>Statut du contrôle</t>
  </si>
  <si>
    <t>Action pour suivre</t>
  </si>
  <si>
    <t>KO</t>
  </si>
  <si>
    <t>KO-Fichier refusé</t>
  </si>
  <si>
    <t>Contrôle de nullité du champ Département dans un HIT</t>
  </si>
  <si>
    <t>CHAMP</t>
  </si>
  <si>
    <t>FICHIER</t>
  </si>
  <si>
    <t>Le département doit être renseigné dans une ligne HIT</t>
  </si>
  <si>
    <t>Le champ Département n'est pas renseigné dans la ligne 1 du fichier</t>
  </si>
  <si>
    <t>[1-3]</t>
  </si>
  <si>
    <t>null</t>
  </si>
  <si>
    <t>KO-Ligne à supprimer</t>
  </si>
  <si>
    <t>LIGNE</t>
  </si>
  <si>
    <t>Contrôle de présence de la Localisation</t>
  </si>
  <si>
    <t>Toutes les données relatives à la localisation doivent être renseignées et de bon format</t>
  </si>
  <si>
    <t>Le fichier ne doit pas être null</t>
  </si>
  <si>
    <t>Le fichier doit exister</t>
  </si>
  <si>
    <t>Le fichier ne doit pas être un répertoire</t>
  </si>
  <si>
    <t>Le fichier ne doit pas être vide (il doit contenir de l'information)</t>
  </si>
  <si>
    <t>Contrôle de format du champ Département dans un HIT</t>
  </si>
  <si>
    <t>Le département doit être un numérique sur 3 caractères dans un HIT</t>
  </si>
  <si>
    <t>Lieu</t>
  </si>
  <si>
    <t>Métier</t>
  </si>
  <si>
    <t>Niveau</t>
  </si>
  <si>
    <t>id_niveau</t>
  </si>
  <si>
    <t>NIVEAU D'APPLICATION DU CONTROLE :</t>
  </si>
  <si>
    <t>Inter-Fichiers</t>
  </si>
  <si>
    <t>Inter-Lignes</t>
  </si>
  <si>
    <t>Ligne</t>
  </si>
  <si>
    <t>Inter-Champs</t>
  </si>
  <si>
    <t>Champ</t>
  </si>
  <si>
    <t>Type</t>
  </si>
  <si>
    <t>Nullité</t>
  </si>
  <si>
    <t>Non-répertoire</t>
  </si>
  <si>
    <t>Contenu (non vide)</t>
  </si>
  <si>
    <t>Contrôle de surface d'existence d'un fichier</t>
  </si>
  <si>
    <t>Contrôle de surface de contenu (non vide) d'un fichier</t>
  </si>
  <si>
    <t>Contrôle de surface de nullité d'une ligne</t>
  </si>
  <si>
    <t>ordre</t>
  </si>
  <si>
    <t>Textuel</t>
  </si>
  <si>
    <t>Contrôle de surface du caractère textuel d'un fichier</t>
  </si>
  <si>
    <t>Transcodage_UTF8</t>
  </si>
  <si>
    <t>Transcodage de surface du fichier en UTF-8</t>
  </si>
  <si>
    <t>Encodage_UTF8</t>
  </si>
  <si>
    <t>Contrôle de surface de l'encodage en UTF-8 du fichier</t>
  </si>
  <si>
    <t>Détection_Type_HIT</t>
  </si>
  <si>
    <t>Détection de surface du type HIT d'un fichier</t>
  </si>
  <si>
    <t>Détection_Type_HISTO_F07</t>
  </si>
  <si>
    <t>Détection de surface du type HISTO_F07 d'un fichier</t>
  </si>
  <si>
    <t>Détection_Type_HISTO_F08</t>
  </si>
  <si>
    <t>Détection de surface du type HISTO_F08 d'un fichier</t>
  </si>
  <si>
    <t>Détection_Type_DARWIN</t>
  </si>
  <si>
    <t>Détection de surface du type DARWIN csv d'un fichier</t>
  </si>
  <si>
    <t>Détection_Type_FEOR_XML</t>
  </si>
  <si>
    <t>Détection de surface du type FEOR XML d'un fichier</t>
  </si>
  <si>
    <t>id_type</t>
  </si>
  <si>
    <t>type</t>
  </si>
  <si>
    <t>Taille</t>
  </si>
  <si>
    <t>Renseigné</t>
  </si>
  <si>
    <t>Format Numérique</t>
  </si>
  <si>
    <t>Dans Nomenclature</t>
  </si>
  <si>
    <t>Regex (expression régulière)</t>
  </si>
  <si>
    <t>Contrôle de surface de non-nullité d'un fichier</t>
  </si>
  <si>
    <t>Contrôle métier de non-nullité d'un fichier</t>
  </si>
  <si>
    <t>Contrôle métier de non-nullité d'une ligne</t>
  </si>
  <si>
    <t>Contrôle métier de renseignement d'un champ (non null ou vide)</t>
  </si>
  <si>
    <t>Contrôle de surface de renseignement d'un champ (non null ou vide)</t>
  </si>
  <si>
    <t>Contrôle de surface de format numérique d'un champ</t>
  </si>
  <si>
    <t>Contrôle de surface de renseignement d'une ligne (non null ou vide)</t>
  </si>
  <si>
    <t>Contrôle de surface de nomenclature d'un champ</t>
  </si>
  <si>
    <t>META-NOM du contrôle</t>
  </si>
  <si>
    <t>Contrôle de surface d'expression régulière d'un champ</t>
  </si>
  <si>
    <t>Existence de fichier</t>
  </si>
  <si>
    <t>Contrôle de surface de simplicité (non-répertoire) d'un fichier</t>
  </si>
  <si>
    <t>Quand ?</t>
  </si>
  <si>
    <t>Date</t>
  </si>
  <si>
    <t>Administrateur</t>
  </si>
  <si>
    <t>Qui ?</t>
  </si>
  <si>
    <t>Portée</t>
  </si>
  <si>
    <t>Quoi ?</t>
  </si>
  <si>
    <t>Que ?</t>
  </si>
  <si>
    <t>Où ?</t>
  </si>
  <si>
    <t>Critère</t>
  </si>
  <si>
    <t>DIRE</t>
  </si>
  <si>
    <t>DIRCE</t>
  </si>
  <si>
    <t>Le fichier A est plus grand que le fichier B</t>
  </si>
  <si>
    <t>Contrôle métier</t>
  </si>
  <si>
    <t>taille</t>
  </si>
  <si>
    <t>existence de fichier</t>
  </si>
  <si>
    <t>Le fichier A contient plus de sections de trafic que le fichier B</t>
  </si>
  <si>
    <t>logique métier</t>
  </si>
  <si>
    <t>surface</t>
  </si>
  <si>
    <t>Contrôle de validité de fichier</t>
  </si>
  <si>
    <t>Le fichier passé en paramètre doit exister</t>
  </si>
  <si>
    <t>Le fichier passé en paramètre ne doit pas être vide</t>
  </si>
  <si>
    <t>Quel ?</t>
  </si>
  <si>
    <t>contenu (non vide)</t>
  </si>
  <si>
    <t>Le trafic sens confondus de la ligne (n+2) correspond à la somme trafic sens droit de la ligne n plus trafic sens gauche de la ligne (n+1)</t>
  </si>
  <si>
    <t>La ligne n contient 520 caractères</t>
  </si>
  <si>
    <t>La TMJAn et la TMJAn-1 de la ligne n sont dans une fourchette de 10%</t>
  </si>
  <si>
    <t>Le département de la ligne n est renseigné</t>
  </si>
  <si>
    <t>renseigné</t>
  </si>
  <si>
    <t>Le département de la ligne n est numérique</t>
  </si>
  <si>
    <t>Format numérique</t>
  </si>
  <si>
    <t>Le département de la ligne n respecte la nomenclature</t>
  </si>
  <si>
    <t>Dans nomenclature</t>
  </si>
  <si>
    <t>Le département de la ligne n respecte l'expression régulière</t>
  </si>
  <si>
    <t>Regex</t>
  </si>
  <si>
    <t>Règle de gestion</t>
  </si>
  <si>
    <t>Objet</t>
  </si>
  <si>
    <t>DIRA_2014 et DIRA_2013</t>
  </si>
  <si>
    <t>lignes n, (n+1) et (n+2) de DIRA_2014</t>
  </si>
  <si>
    <t>ligne n de DIRA_2014</t>
  </si>
  <si>
    <t>Qu'est-ce ?</t>
  </si>
  <si>
    <t>TMJAn et TMJAn-1 de la ligne n de DIRA_2014</t>
  </si>
  <si>
    <t>champ Département de la ligne n de DIRA_2014</t>
  </si>
  <si>
    <t xml:space="preserve">Question : </t>
  </si>
  <si>
    <t>Concept :</t>
  </si>
  <si>
    <t>Fonctionnelle</t>
  </si>
  <si>
    <t>Demandeur</t>
  </si>
  <si>
    <t>Description</t>
  </si>
  <si>
    <t>Catégorie de l'exigence</t>
  </si>
  <si>
    <t>MOA</t>
  </si>
  <si>
    <t>Contrôle de la validité des fichiers en entrée</t>
  </si>
  <si>
    <t>DEMANDEUR</t>
  </si>
  <si>
    <t>IDENTIFIANT DE L'EXIGENCE</t>
  </si>
  <si>
    <t>INTITULE</t>
  </si>
  <si>
    <t>L'application cible doit contrôler la validité des fichiers acceptés en entrée.</t>
  </si>
  <si>
    <t>Contrôle des données métier</t>
  </si>
  <si>
    <t>L'application cible doit contrôler que les données métier satisfont à des règles de gestion</t>
  </si>
  <si>
    <t>MOE</t>
  </si>
  <si>
    <t>Un fichier en entrée ne doit pas être null</t>
  </si>
  <si>
    <t>L'application cible doit contrôler que le fichier en entrée n'est pas null</t>
  </si>
  <si>
    <t>Technique</t>
  </si>
  <si>
    <t>Un fichier en entrée doit être existant</t>
  </si>
  <si>
    <t>L'application cible doit contrôler que le fichier en entrée est existant</t>
  </si>
  <si>
    <t>Un fichier en entrée ne doit pas être un répertoire</t>
  </si>
  <si>
    <t>L'application cible doit contrôler que le fichier en entrée n'est pas un répertoire</t>
  </si>
  <si>
    <t>Un fichier en entrée ne doit pas être vide</t>
  </si>
  <si>
    <t>L'application cible doit contrôler que le fichier en entrée n'est pas vide</t>
  </si>
  <si>
    <t>Un fichier en entrée doit être un fichier texte</t>
  </si>
  <si>
    <t>L'application cible doit contrôler que le fichier en entrée est un fichier texte (pas un mp3, un wav, …)</t>
  </si>
  <si>
    <t>Tous les fichiers gérés par l'application doivent être transcodés en interne en UTF-8.</t>
  </si>
  <si>
    <t>EX_FONCT_01_CONTROLE_DE_VALIDITE</t>
  </si>
  <si>
    <t>EX_FONCT_02_CONTROLE_METIER</t>
  </si>
  <si>
    <t>Contrôle de l'encodage UTF-8 des fichiers</t>
  </si>
  <si>
    <t>L'application cible doit contrôler que les fichiers internes sont encodés en UTF-8</t>
  </si>
  <si>
    <t>Détection du type de fichier (HIT, HISTO_F07, DARWIN, …)</t>
  </si>
  <si>
    <t>Dans un HIT, toutes les lignes doivent comporter exactement 520 caractères</t>
  </si>
  <si>
    <t>RG_DETECTION_HIT_01_LIGNES</t>
  </si>
  <si>
    <t>IDENTIFIANT</t>
  </si>
  <si>
    <t>DESCRIPTION</t>
  </si>
  <si>
    <t>PORTEE</t>
  </si>
  <si>
    <t>EXIGENCE ASSOCIEE</t>
  </si>
  <si>
    <t>HIT</t>
  </si>
  <si>
    <t>Un fichier en entrée ne doit pas comporter de lignes en doublons</t>
  </si>
  <si>
    <t>L'application cible doit détecter les lignes en doublon et éliminer les surplus</t>
  </si>
  <si>
    <t>Tous Fichiers</t>
  </si>
  <si>
    <t>L'application cible doit contrôler la validité des fichiers acceptés en entrée</t>
  </si>
  <si>
    <t>L'application cible ne doit admettre en entrée que des fichiers texte (HIT, HISTO_F07, DARWIN, ,,,)</t>
  </si>
  <si>
    <t>RG-01_FICHIER_CONTROLE_VALIDITE</t>
  </si>
  <si>
    <t>RG-100_TRUE_SI_CONTROLE_FAVORABLE</t>
  </si>
  <si>
    <t>RG-02_FICHIER_CONTROLE_METIER</t>
  </si>
  <si>
    <t>RG-01-01_FICHIERS_TEXTE</t>
  </si>
  <si>
    <t>RG-01-02_TRANSCODAGE_UTF-8</t>
  </si>
  <si>
    <t>RG-01-03_FICHIERS_ENCODAGE_UTF-8</t>
  </si>
  <si>
    <t>Détection de doublons de lignes</t>
  </si>
  <si>
    <t>Détection-Elimination de surface des doublons de lignes</t>
  </si>
  <si>
    <t>Un fichier en entrée ne doit pas comporter de lignes vides</t>
  </si>
  <si>
    <t>L'application cible doit détecter les lignes vides et les éliminer</t>
  </si>
  <si>
    <t>Aucun fichier ne doit comporter de lignes vides.
Si des lignes vides sont trouvées, elles sont éliminées eet le programme continue.</t>
  </si>
  <si>
    <t>Aucun fichier ne doit comporter de lignes en doublons.
Si des doublons (triplettes, …) sont trouvés, seul le premier exemplaire doit être conservé. Les autres sont éliminés et le programme continue.</t>
  </si>
  <si>
    <t>Un contrôle favorable (qui a détecté que l'objet remplissait le critère) doit répondre true dans l'application. 
Par exemple le résultat du contrôle "Pas de doublons" à true signifie que le fichier ne comporte pas de doublons.</t>
  </si>
  <si>
    <t>RG-101_TOUT_CONTROLE_RAPPORTE</t>
  </si>
  <si>
    <t>EX_FONCT_03_RAPPORT_CONTROLE</t>
  </si>
  <si>
    <t>Tout contrôle doit générer un rapport de contrôle</t>
  </si>
  <si>
    <t>EX_TEC_01_FICHIER_NON_NULL</t>
  </si>
  <si>
    <t>EX_TEC_02_FICHIER_EXISTANT</t>
  </si>
  <si>
    <t>EX_TEC_03_FICHIER_SIMPLE</t>
  </si>
  <si>
    <t>EX_TEC_04_FICHIER_NON_VIDE</t>
  </si>
  <si>
    <t>EX_TEC_05_FICHIER_TEXTE</t>
  </si>
  <si>
    <t>EX_TEC_06_TRAITEMENT_ENCODAGE_UTF8</t>
  </si>
  <si>
    <t>EX_TEC_07_CONTROLE_ENCODAGE_UTF8</t>
  </si>
  <si>
    <t>EX_TEC_09_FICHIER_SANS_DOUBLONS_LIGNE</t>
  </si>
  <si>
    <t>EX_TEC_10_FICHIER_SANS_LIGNES_VIDES</t>
  </si>
  <si>
    <t>RG-01-04_FICHIERS_TYPE_TRAFIC</t>
  </si>
  <si>
    <t>L'application cible doit détecter le type du fichier entrant (HIT, HISTO_F07, DARWIN, …) et n'accepter en entrée que ces types de fichiers trafic</t>
  </si>
  <si>
    <t>Tout contrôle doit être identifié</t>
  </si>
  <si>
    <t>EX_FONCT_04_LOG_CONTROLE</t>
  </si>
  <si>
    <t>EX_FONCT_05_IDENTIFIANT_CONTROLE</t>
  </si>
  <si>
    <t>Fonctionelle</t>
  </si>
  <si>
    <t>Tout contrôle doit envoyer un message dans un Log applicatif</t>
  </si>
  <si>
    <t>L'application cible doit fournir des logs applicatifs pour les contrôles</t>
  </si>
  <si>
    <t>L'application cible doit identifier les contrôles afin de pouvoir les retrouver, les trier, …</t>
  </si>
  <si>
    <t>EX_FONCT_06_REGLE_ART</t>
  </si>
  <si>
    <t>Les contrôles doivent respecter les règles de l'art</t>
  </si>
  <si>
    <t>L'application cible doit respecter les règles de l'art</t>
  </si>
  <si>
    <t>RG-102_REGLES_ART</t>
  </si>
  <si>
    <t>L'application cible doit exécuter tous les contrôles conformes aux règles de l'art</t>
  </si>
  <si>
    <t>EX_TEC_11_CHAMP_RENSEIGNE</t>
  </si>
  <si>
    <t>Un champ doit être renseigné dans une ligne</t>
  </si>
  <si>
    <t>L'application doit détecter les champs non renseignés et leur appliquer une règle de gestion</t>
  </si>
  <si>
    <t>Un champ doit être au bon format dans une ligne</t>
  </si>
  <si>
    <t>L'application doit détecter les champs au mauvais format et leur appliquer une règle de gestion</t>
  </si>
  <si>
    <t>EX_TEC_12_FORMAT_CHAMP</t>
  </si>
  <si>
    <t>EX_TEC_13_NOMENCLATURE_CHAMP</t>
  </si>
  <si>
    <t>Certains champs doivent respecter une nomenclature</t>
  </si>
  <si>
    <t>L'application doit détecter les champs ne respectant pas une nomenclature et leur appliquer une règle de gestion</t>
  </si>
  <si>
    <t>EX_TEC_08_DETECTION_TYPE_FICHIER</t>
  </si>
  <si>
    <t>EX_TEC_14_REGEX_CHAMP</t>
  </si>
  <si>
    <t>Certains champs doivent respecter une expression régulière (RegEx)</t>
  </si>
  <si>
    <t>L'application doit détecter les champs ne respectant pas une expression régulière et leur appliquer une règle de gestion</t>
  </si>
  <si>
    <t>Contrôle de la nomenclature du champ Département dans un HIT</t>
  </si>
  <si>
    <t>Le champ Département n'est pas numérique dans la ligne 1 du fichier</t>
  </si>
  <si>
    <t>Contrôle de l'expression régulière du champ Département dans un HIT</t>
  </si>
  <si>
    <t>Le département doit être cadré à gauche avec des zéros complémentaires à droite (010 pour l'Ain, 100 pour l'Aube, 130 pour les Bouches du Rhône, …)</t>
  </si>
  <si>
    <t>Le département doit appartenir à la nomenclature [01, 99] dans un HIT</t>
  </si>
  <si>
    <t>Le champ Département n'est pas conforme à la nomenclature dans la ligne 1 du fichier</t>
  </si>
  <si>
    <t>"023"</t>
  </si>
  <si>
    <t>"abc"</t>
  </si>
  <si>
    <t>"991"</t>
  </si>
  <si>
    <t>Le champ Département n'est pas conforme à la RegEx dans la ligne 1 du fichier</t>
  </si>
  <si>
    <t>EX_FONCT_07_CONTROLES_PARAMETRABLES</t>
  </si>
  <si>
    <t>Tout contrôle doit pouvoir être activé/désactivé</t>
  </si>
  <si>
    <t>L'application cible doit mettre à disposition de l'Administrateur un dispositif de paramétrage individuel des contôles</t>
  </si>
  <si>
    <t>RG-200-1_CONTROLES PARAMETRABLES</t>
  </si>
  <si>
    <t>EX_TEC_15_CHAMPS_REDHIBITOIRES</t>
  </si>
  <si>
    <t>Un contrôle défavorable sur certains champs dits "rédhibitoires" doit aboutir au retrait de toute la ligne</t>
  </si>
  <si>
    <t>L'application doit retirer toute la ligne du fichier si un de ses champs rédhibitoires est mal formé</t>
  </si>
  <si>
    <t>Aucun fichier ne doit comporter de lignes avec des champs "redhibitoires" mal formés.
Si une telle ligne est trouvée, elle est éliminée et le programme continue</t>
  </si>
  <si>
    <t>EX_FONCT_08_CONSULTATION_ETAT_CTRL</t>
  </si>
  <si>
    <t>Tout contrôle doit savoir si il est actif ou pas</t>
  </si>
  <si>
    <t>L'application cible doit mettre à disposition de l'Administrateur un dispositif de consultation du paramétrage individuel des contôles</t>
  </si>
  <si>
    <t>Un contrôle ne doit s'appliquer et rapporter que si il est activé</t>
  </si>
  <si>
    <t>RG-01-05_ELIMINATION_DOUBLONS_INTERLIGNES</t>
  </si>
  <si>
    <t>RG-01-06_ELIMINATION_LIGNES_VIDES</t>
  </si>
  <si>
    <t>RG-01-07_ELIMINATION_LIGNE_REDHIBITOIRE</t>
  </si>
  <si>
    <t>EX_FONCT_09_MESSAGE_CONTROLE</t>
  </si>
  <si>
    <t>Tout contrôle doit générer un message de contrôle à l'attention des acteurs</t>
  </si>
  <si>
    <t>L'application cible doit générer un message de contrôle pour tout contrôle appliqué</t>
  </si>
  <si>
    <t>EX_TEC_16_ANNEE_EXPLOITATION</t>
  </si>
  <si>
    <t>L'année de toutes les sections d'un lot doit être l'année d'exploitation</t>
  </si>
  <si>
    <t>L'application doit retirer toute la ligne du fichier si l'année de la ligne n'est pas l'année d'exploitation</t>
  </si>
  <si>
    <t>RG-300-1_ANNEE_EXPLOITATION</t>
  </si>
  <si>
    <t>L'application doit retirer toute la ligne du fichier si l'année de la ligne n'est pas l'année d'exploitation.
Si une telle ligne est trouvée, elle est éliminée et le programme continue</t>
  </si>
  <si>
    <t>L'application cible doit fournir des rapports de contrôle expliquant le résultat de tous ses contrôles et traitements</t>
  </si>
  <si>
    <t>EX_TEC_17_LOCALISATIONS_RENSEIGNEES</t>
  </si>
  <si>
    <t>Les localisations de début et de fin de toutes les sections d'un lot doivent être renseignées</t>
  </si>
  <si>
    <t>L'application doit retirer toute la ligne du fichier si une des localisations de la ligne n'est pas renseignée</t>
  </si>
  <si>
    <t>RG-300-2_LOCALISATIONS_RENSEIGNEES</t>
  </si>
  <si>
    <t>L'application doit retirer toute la ligne du fichier si une des localisations de la ligne n'est pas renseignée,
Si une telle ligne est trouvée, elle est éliminée et le programme continue.</t>
  </si>
  <si>
    <t>L'application doit signaler les erreurs dans les cumuls de sens</t>
  </si>
  <si>
    <t>EX_TEC_18_SENS_CONFONDUS</t>
  </si>
  <si>
    <t>RG-300-3_SENS_CONFONDUS</t>
  </si>
  <si>
    <t>Les sens confondus doivent être égaux à la somme des sens croissants et décroissants pour une même section.
Si une telle ligne est trouvée, l'application rédige un message d'alerte, la ligne est conservée et le programme continue</t>
  </si>
  <si>
    <t>EX_TEC_19_CONTROLES_ACCESSIBLES</t>
  </si>
  <si>
    <t>Les contrôles doivent être accessibles pour les recetteurs</t>
  </si>
  <si>
    <t>L'application doit mettre à disposition des recettes techniques et fonctionnelles un moyen d'accès aux contrôles</t>
  </si>
  <si>
    <t>EX_TEC_20_STOCKER_RAPPORT_CONTROLE</t>
  </si>
  <si>
    <t>Les rapports de contrôles doivent être stockés sur le serveur</t>
  </si>
  <si>
    <t>EX_TEC_21_EXPORTER_RAPPORT_CONTROLE</t>
  </si>
  <si>
    <t>Les rapports de contrôle stockés sur le serveur doivent pouvoir être exportés vers les disques durs des acteurs</t>
  </si>
  <si>
    <t>EX_TEC_22_ECRASER_RAPPORTS_CONTROLES</t>
  </si>
  <si>
    <t>L'application doit pouvoir écraser automatiquement les rapports de contrôle sur le serveur après un délai fixé par la MOA.
Elle doit en outre permettre à un Administrateur applicatif d'écraser manuellement les rapports de contrôle</t>
  </si>
  <si>
    <t>EX_TEC_23_AGREGER_RAPPORTS_CONTROLES</t>
  </si>
  <si>
    <t>Les rapports de contrôle stockés sur le serveur doivent pouvoir être écrasés automatiquement après un délai fixé par la MOA ou manuellement</t>
  </si>
  <si>
    <t>Les rapports de contrôle doivent pouvoir être agrégés afin que la MOA dispose d'un rapport unique pour une période déterminée</t>
  </si>
  <si>
    <t>EX_TEC_24_RAPPORTS_CONTROLE_CSV</t>
  </si>
  <si>
    <t>Les rapports de contrôle doivent être enregistrés au format csv</t>
  </si>
  <si>
    <t>L'application doit pouvoir servir des rapports de contrôle au format csv</t>
  </si>
  <si>
    <t>L'application doit pouvoir servir des rapports de contrôle concaténables afin d'obtenir un rapport unique pour une période déterminée</t>
  </si>
  <si>
    <t>L'application doit permettre le stockage des rapports de contrôle sur le serveur pendant une période fixée par la MOA</t>
  </si>
  <si>
    <t>L'application doit permettre aux acteurs d'importer sur leur disque dur les rapports de contrôle stockés sur le serveur</t>
  </si>
  <si>
    <t>EX_FONCT_10_MESSAGES_CONSOLIDABLES</t>
  </si>
  <si>
    <t>Les messages de contrôles doivent être consolidables (géographiquement au niveau national et temporellement sur une année d'exploitation)</t>
  </si>
  <si>
    <t>L'application cible doit générer des messages de contrôle consolidables (géographiquement au niveau national et temporellement sur une année d'exploitation)</t>
  </si>
  <si>
    <t>EX_TEC_25_RAPPORTS_CONTROLE_TXT</t>
  </si>
  <si>
    <t>Les rapports de contrôle doivent être enregistrés au format textuel</t>
  </si>
  <si>
    <t>L'application doit pouvoir servir des rapports de contrôle au format textuel</t>
  </si>
  <si>
    <t>Les trafics sens confondus doivent être égaux à la somme des trafics sens croissants et décroissants pour une même section</t>
  </si>
  <si>
    <t>Les contrôles doivent pouvoir être enchaînés</t>
  </si>
  <si>
    <t>EX_TEC_27_CONTROLES_ENCHAINABLES</t>
  </si>
  <si>
    <t>L'application doit pouvoir enchaîner tous les contrôles et fournir un (ou plusieurs) rapport de contrôle final</t>
  </si>
  <si>
    <t>EX_TEC_26_MEMORISER_NUMEROS_ORIGINAUX</t>
  </si>
  <si>
    <t>Les rapports de contrôle doivent faire apparaître les numéros des lignes contrôlées originaux tels qu'ils figurent dans le fichier original dont dispose le fournisseur de données</t>
  </si>
  <si>
    <t xml:space="preserve">L'application doit servir des rapports de contrôle utilisant les numéros de ligne originaux (numéros de ligne dans le fichier soumis)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</si>
</sst>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0"/>
      <color theme="1"/>
      <name val="Arial"/>
      <family val="2"/>
    </font>
    <font>
      <b/>
      <sz val="10"/>
      <color theme="1"/>
      <name val="Arial"/>
      <family val="2"/>
    </font>
    <font>
      <sz val="10"/>
      <color indexed="8"/>
      <name val="Arial"/>
    </font>
  </fonts>
  <fills count="5">
    <fill>
      <patternFill patternType="none"/>
    </fill>
    <fill>
      <patternFill patternType="gray125"/>
    </fill>
    <fill>
      <patternFill patternType="solid">
        <fgColor indexed="22"/>
        <bgColor indexed="0"/>
      </patternFill>
    </fill>
    <fill>
      <patternFill patternType="solid">
        <fgColor theme="3" tint="0.79998168889431442"/>
        <bgColor indexed="64"/>
      </patternFill>
    </fill>
    <fill>
      <patternFill patternType="solid">
        <fgColor theme="6" tint="0.79998168889431442"/>
        <bgColor indexed="64"/>
      </patternFill>
    </fill>
  </fills>
  <borders count="11">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2" fillId="0" borderId="0"/>
  </cellStyleXfs>
  <cellXfs count="36">
    <xf numFmtId="0" fontId="0" fillId="0" borderId="0" xfId="0"/>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lignment horizontal="center" vertical="center" wrapText="1"/>
    </xf>
    <xf numFmtId="16" fontId="0" fillId="0" borderId="0" xfId="0" applyNumberFormat="1" applyAlignment="1">
      <alignment vertical="center" wrapText="1"/>
    </xf>
    <xf numFmtId="0" fontId="0" fillId="0" borderId="0" xfId="0" applyAlignment="1">
      <alignment horizontal="center" vertical="center" wrapText="1"/>
    </xf>
    <xf numFmtId="0" fontId="2" fillId="2" borderId="1" xfId="1" applyFont="1" applyFill="1" applyBorder="1" applyAlignment="1">
      <alignment horizontal="center"/>
    </xf>
    <xf numFmtId="0" fontId="2" fillId="0" borderId="2" xfId="1" applyFont="1" applyFill="1" applyBorder="1" applyAlignment="1">
      <alignment horizontal="right" wrapText="1"/>
    </xf>
    <xf numFmtId="0" fontId="2" fillId="0" borderId="2" xfId="1" applyFont="1" applyFill="1" applyBorder="1" applyAlignment="1">
      <alignment wrapText="1"/>
    </xf>
    <xf numFmtId="0" fontId="1"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1" fillId="0" borderId="3" xfId="0" applyFont="1" applyBorder="1" applyAlignment="1">
      <alignment horizontal="center" vertical="center"/>
    </xf>
    <xf numFmtId="0" fontId="0" fillId="0" borderId="3" xfId="0" applyBorder="1" applyAlignment="1">
      <alignment vertical="center"/>
    </xf>
    <xf numFmtId="14" fontId="0" fillId="0" borderId="3" xfId="0" applyNumberFormat="1" applyBorder="1" applyAlignment="1">
      <alignment horizontal="center" vertical="center" wrapText="1"/>
    </xf>
    <xf numFmtId="0" fontId="0" fillId="0" borderId="3" xfId="0" applyBorder="1" applyAlignment="1">
      <alignment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14" fontId="0" fillId="0" borderId="4" xfId="0" applyNumberFormat="1" applyBorder="1" applyAlignment="1">
      <alignment horizontal="center" vertical="center" wrapText="1"/>
    </xf>
    <xf numFmtId="0" fontId="0" fillId="0" borderId="4" xfId="0" applyBorder="1" applyAlignment="1">
      <alignment vertical="center" wrapText="1"/>
    </xf>
    <xf numFmtId="0" fontId="1" fillId="3" borderId="5"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0" borderId="0" xfId="0" applyFont="1" applyAlignment="1">
      <alignment horizontal="center"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left" vertical="center" wrapText="1"/>
    </xf>
    <xf numFmtId="0" fontId="1" fillId="3" borderId="3" xfId="0" applyFont="1" applyFill="1" applyBorder="1" applyAlignment="1">
      <alignment horizontal="center" vertical="center" wrapText="1"/>
    </xf>
    <xf numFmtId="0" fontId="0" fillId="0" borderId="3" xfId="0" applyFont="1" applyBorder="1" applyAlignment="1">
      <alignment horizontal="center" vertical="center" wrapText="1"/>
    </xf>
    <xf numFmtId="0" fontId="0" fillId="0" borderId="3" xfId="0" applyFont="1" applyBorder="1" applyAlignment="1">
      <alignment horizontal="left" vertical="center" wrapText="1"/>
    </xf>
    <xf numFmtId="0" fontId="0" fillId="0" borderId="3" xfId="0" applyBorder="1" applyAlignment="1">
      <alignment horizontal="center" vertical="center" wrapText="1"/>
    </xf>
    <xf numFmtId="0" fontId="0" fillId="0" borderId="3" xfId="0" applyBorder="1" applyAlignment="1">
      <alignment horizontal="left" vertical="center" wrapText="1"/>
    </xf>
    <xf numFmtId="0" fontId="0" fillId="0" borderId="0" xfId="0" applyAlignment="1">
      <alignment horizontal="center" vertical="center" wrapText="1"/>
    </xf>
  </cellXfs>
  <cellStyles count="2">
    <cellStyle name="Normal" xfId="0" builtinId="0"/>
    <cellStyle name="Normal_Niveau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MSAccess" ddeTopic="D:\Donnees\eclipse\ECLIPS~1\IMPORT~1\doc\CONTRO~1.MDB;Table Lieux">
    <ddeItems>
      <ddeItem name="All" advise="1">
        <values rows="3" cols="2">
          <value t="str">
            <val>id_lieu</val>
          </value>
          <value t="str">
            <val>lieu</val>
          </value>
          <value>
            <val>1</val>
          </value>
          <value t="str">
            <val>Métier</val>
          </value>
          <value>
            <val>2</val>
          </value>
          <value t="str">
            <val>Surface</val>
          </value>
        </values>
      </ddeItem>
      <ddeItem name="StdDocumentName" ole="1" advise="1"/>
    </ddeItems>
  </ddeLink>
</externalLink>
</file>

<file path=xl/queryTables/queryTable1.xml><?xml version="1.0" encoding="utf-8"?>
<queryTable xmlns="http://schemas.openxmlformats.org/spreadsheetml/2006/main" name="controles" connectionId="1" autoFormatId="16" applyNumberFormats="0" applyBorderFormats="0" applyFontFormats="0" applyPatternFormats="0" applyAlignmentFormats="0" applyWidthHeightFormats="0">
  <queryTableRefresh nextId="3">
    <queryTableFields count="2">
      <queryTableField id="1" name="id_type" tableColumnId="1"/>
      <queryTableField id="2" name="typ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au_controles" displayName="Tableau_controles" ref="A1:B19" tableType="queryTable" totalsRowShown="0">
  <autoFilter ref="A1:B19"/>
  <tableColumns count="2">
    <tableColumn id="1" uniqueName="1" name="id_type" queryTableFieldId="1"/>
    <tableColumn id="2" uniqueName="2" name="type" queryTableFieldId="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Right="0"/>
  </sheetPr>
  <dimension ref="A2:T17"/>
  <sheetViews>
    <sheetView workbookViewId="0">
      <selection activeCell="D6" sqref="D6"/>
    </sheetView>
  </sheetViews>
  <sheetFormatPr baseColWidth="10" defaultColWidth="34.42578125" defaultRowHeight="12.75" outlineLevelCol="1" x14ac:dyDescent="0.2"/>
  <cols>
    <col min="1" max="1" width="11.7109375" style="1" customWidth="1"/>
    <col min="2" max="2" width="20.28515625" style="1" customWidth="1" outlineLevel="1"/>
    <col min="3" max="3" width="11" style="1" customWidth="1" outlineLevel="1"/>
    <col min="4" max="4" width="34.42578125" style="1" customWidth="1" outlineLevel="1"/>
    <col min="5" max="5" width="5.28515625" style="1" customWidth="1"/>
    <col min="6" max="6" width="9.7109375" style="1" customWidth="1" outlineLevel="1"/>
    <col min="7" max="7" width="12" style="1" customWidth="1" outlineLevel="1"/>
    <col min="8" max="8" width="9.28515625" style="1" customWidth="1" outlineLevel="1"/>
    <col min="9" max="9" width="11.28515625" style="1" customWidth="1" outlineLevel="1"/>
    <col min="10" max="10" width="17.140625" style="1" bestFit="1" customWidth="1"/>
    <col min="11" max="12" width="34.42578125" style="1"/>
    <col min="13" max="13" width="19" style="1" bestFit="1" customWidth="1"/>
    <col min="14" max="14" width="12" style="1" customWidth="1"/>
    <col min="15" max="15" width="34.42578125" style="1"/>
    <col min="16" max="16" width="14.28515625" style="1" bestFit="1" customWidth="1"/>
    <col min="17" max="17" width="16.5703125" style="1" bestFit="1" customWidth="1"/>
    <col min="18" max="18" width="15" style="1" bestFit="1" customWidth="1"/>
    <col min="19" max="20" width="15.7109375" style="1" bestFit="1" customWidth="1"/>
    <col min="21" max="16384" width="34.42578125" style="1"/>
  </cols>
  <sheetData>
    <row r="2" spans="1:20" s="3" customFormat="1" ht="41.25" customHeight="1" x14ac:dyDescent="0.2">
      <c r="A2" s="3" t="s">
        <v>0</v>
      </c>
      <c r="B2" s="3" t="s">
        <v>1</v>
      </c>
      <c r="C2" s="3" t="s">
        <v>2</v>
      </c>
      <c r="D2" s="3" t="s">
        <v>4</v>
      </c>
      <c r="F2" s="3" t="s">
        <v>17</v>
      </c>
      <c r="G2" s="3" t="s">
        <v>8</v>
      </c>
      <c r="H2" s="3" t="s">
        <v>9</v>
      </c>
      <c r="I2" s="3" t="s">
        <v>10</v>
      </c>
      <c r="J2" s="3" t="s">
        <v>12</v>
      </c>
      <c r="K2" s="3" t="s">
        <v>13</v>
      </c>
      <c r="L2" s="3" t="s">
        <v>14</v>
      </c>
      <c r="M2" s="3" t="s">
        <v>15</v>
      </c>
      <c r="N2" s="3" t="s">
        <v>30</v>
      </c>
      <c r="O2" s="3" t="s">
        <v>31</v>
      </c>
      <c r="P2" s="3" t="s">
        <v>41</v>
      </c>
      <c r="Q2" s="3" t="s">
        <v>42</v>
      </c>
      <c r="R2" s="3" t="s">
        <v>43</v>
      </c>
      <c r="S2" s="3" t="s">
        <v>44</v>
      </c>
      <c r="T2" s="3" t="s">
        <v>45</v>
      </c>
    </row>
    <row r="3" spans="1:20" ht="25.5" customHeight="1" x14ac:dyDescent="0.2">
      <c r="A3" s="35" t="s">
        <v>50</v>
      </c>
      <c r="B3" s="1" t="s">
        <v>19</v>
      </c>
      <c r="C3" s="1" t="s">
        <v>21</v>
      </c>
      <c r="D3" s="1" t="s">
        <v>5</v>
      </c>
      <c r="F3" s="1">
        <v>2014</v>
      </c>
      <c r="G3" s="2">
        <v>42478</v>
      </c>
      <c r="H3" s="1" t="s">
        <v>11</v>
      </c>
      <c r="I3" s="1" t="s">
        <v>27</v>
      </c>
      <c r="J3" s="1" t="s">
        <v>3</v>
      </c>
      <c r="K3" s="1" t="str">
        <f>D3</f>
        <v>Contrôle de nullité du fichier</v>
      </c>
      <c r="L3" s="1" t="s">
        <v>59</v>
      </c>
      <c r="M3" s="1" t="s">
        <v>16</v>
      </c>
      <c r="O3" s="1" t="s">
        <v>32</v>
      </c>
      <c r="S3" s="1" t="s">
        <v>46</v>
      </c>
      <c r="T3" s="1" t="s">
        <v>47</v>
      </c>
    </row>
    <row r="4" spans="1:20" x14ac:dyDescent="0.2">
      <c r="A4" s="35"/>
      <c r="D4" s="1" t="s">
        <v>6</v>
      </c>
      <c r="F4" s="1">
        <v>2014</v>
      </c>
      <c r="G4" s="2">
        <v>42478</v>
      </c>
      <c r="H4" s="1" t="s">
        <v>11</v>
      </c>
      <c r="I4" s="1" t="s">
        <v>27</v>
      </c>
      <c r="J4" s="1" t="s">
        <v>3</v>
      </c>
      <c r="K4" s="1" t="str">
        <f t="shared" ref="K4:K17" si="0">D4</f>
        <v>contrôle d'existence du fichier</v>
      </c>
      <c r="L4" s="1" t="s">
        <v>60</v>
      </c>
      <c r="M4" s="1" t="s">
        <v>16</v>
      </c>
      <c r="O4" s="1" t="s">
        <v>33</v>
      </c>
      <c r="S4" s="1" t="s">
        <v>46</v>
      </c>
      <c r="T4" s="1" t="s">
        <v>47</v>
      </c>
    </row>
    <row r="5" spans="1:20" ht="25.5" x14ac:dyDescent="0.2">
      <c r="A5" s="35"/>
      <c r="D5" s="1" t="s">
        <v>7</v>
      </c>
      <c r="F5" s="1">
        <v>2014</v>
      </c>
      <c r="G5" s="2">
        <v>42478</v>
      </c>
      <c r="H5" s="1" t="s">
        <v>11</v>
      </c>
      <c r="I5" s="1" t="s">
        <v>27</v>
      </c>
      <c r="J5" s="1" t="s">
        <v>3</v>
      </c>
      <c r="K5" s="1" t="str">
        <f t="shared" si="0"/>
        <v>Contrôle du type simple du fichier (pas répertoire)</v>
      </c>
      <c r="L5" s="1" t="s">
        <v>61</v>
      </c>
      <c r="M5" s="1" t="s">
        <v>16</v>
      </c>
      <c r="O5" s="1" t="s">
        <v>34</v>
      </c>
      <c r="S5" s="1" t="s">
        <v>46</v>
      </c>
      <c r="T5" s="1" t="s">
        <v>47</v>
      </c>
    </row>
    <row r="6" spans="1:20" ht="25.5" x14ac:dyDescent="0.2">
      <c r="A6" s="35"/>
      <c r="D6" s="1" t="s">
        <v>22</v>
      </c>
      <c r="F6" s="1">
        <v>2014</v>
      </c>
      <c r="G6" s="2">
        <v>42478</v>
      </c>
      <c r="H6" s="1" t="s">
        <v>11</v>
      </c>
      <c r="I6" s="1" t="s">
        <v>27</v>
      </c>
      <c r="J6" s="1" t="s">
        <v>3</v>
      </c>
      <c r="K6" s="1" t="str">
        <f t="shared" si="0"/>
        <v>Contrôle du contenu du fichier (fichier pas vide)</v>
      </c>
      <c r="L6" s="1" t="s">
        <v>62</v>
      </c>
      <c r="M6" s="1" t="s">
        <v>16</v>
      </c>
      <c r="O6" s="1" t="s">
        <v>35</v>
      </c>
      <c r="S6" s="1" t="s">
        <v>46</v>
      </c>
      <c r="T6" s="1" t="s">
        <v>47</v>
      </c>
    </row>
    <row r="7" spans="1:20" ht="27.75" customHeight="1" x14ac:dyDescent="0.2">
      <c r="A7" s="35"/>
      <c r="D7" s="1" t="s">
        <v>18</v>
      </c>
      <c r="F7" s="1">
        <v>2014</v>
      </c>
      <c r="G7" s="2">
        <v>42478</v>
      </c>
      <c r="H7" s="1" t="s">
        <v>11</v>
      </c>
      <c r="I7" s="1" t="s">
        <v>27</v>
      </c>
      <c r="J7" s="1" t="s">
        <v>3</v>
      </c>
      <c r="K7" s="1" t="str">
        <f t="shared" si="0"/>
        <v>Contrôle fichier texte</v>
      </c>
      <c r="L7" s="1" t="s">
        <v>26</v>
      </c>
      <c r="M7" s="1" t="s">
        <v>16</v>
      </c>
      <c r="O7" s="1" t="s">
        <v>36</v>
      </c>
      <c r="S7" s="1" t="s">
        <v>46</v>
      </c>
      <c r="T7" s="1" t="s">
        <v>47</v>
      </c>
    </row>
    <row r="8" spans="1:20" ht="25.5" x14ac:dyDescent="0.2">
      <c r="A8" s="35"/>
      <c r="D8" s="1" t="s">
        <v>20</v>
      </c>
      <c r="F8" s="1">
        <v>2014</v>
      </c>
      <c r="G8" s="2">
        <v>42478</v>
      </c>
      <c r="H8" s="1" t="s">
        <v>11</v>
      </c>
      <c r="I8" s="1" t="s">
        <v>27</v>
      </c>
      <c r="J8" s="1" t="s">
        <v>24</v>
      </c>
      <c r="K8" s="1" t="str">
        <f t="shared" si="0"/>
        <v>Traitement de transcodage du fichier en UTF-8</v>
      </c>
      <c r="L8" s="1" t="s">
        <v>37</v>
      </c>
      <c r="M8" s="1" t="s">
        <v>16</v>
      </c>
      <c r="O8" s="1" t="s">
        <v>38</v>
      </c>
      <c r="S8" s="1" t="s">
        <v>46</v>
      </c>
      <c r="T8" s="1" t="s">
        <v>47</v>
      </c>
    </row>
    <row r="9" spans="1:20" ht="24.75" customHeight="1" x14ac:dyDescent="0.2">
      <c r="A9" s="35"/>
      <c r="D9" s="1" t="s">
        <v>23</v>
      </c>
      <c r="F9" s="1">
        <v>2014</v>
      </c>
      <c r="G9" s="2">
        <v>42478</v>
      </c>
      <c r="H9" s="1" t="s">
        <v>11</v>
      </c>
      <c r="I9" s="1" t="s">
        <v>27</v>
      </c>
      <c r="J9" s="1" t="s">
        <v>3</v>
      </c>
      <c r="K9" s="1" t="str">
        <f t="shared" si="0"/>
        <v>Contrôle d'encodage du fichier en UTF-8</v>
      </c>
      <c r="L9" s="1" t="s">
        <v>28</v>
      </c>
      <c r="M9" s="1" t="s">
        <v>16</v>
      </c>
      <c r="O9" s="1" t="s">
        <v>39</v>
      </c>
      <c r="S9" s="1" t="s">
        <v>46</v>
      </c>
      <c r="T9" s="1" t="s">
        <v>47</v>
      </c>
    </row>
    <row r="10" spans="1:20" ht="25.5" x14ac:dyDescent="0.2">
      <c r="A10" s="35"/>
      <c r="D10" s="1" t="s">
        <v>25</v>
      </c>
      <c r="F10" s="1">
        <v>2014</v>
      </c>
      <c r="G10" s="2">
        <v>42478</v>
      </c>
      <c r="H10" s="1" t="s">
        <v>11</v>
      </c>
      <c r="I10" s="1" t="s">
        <v>27</v>
      </c>
      <c r="J10" s="1" t="s">
        <v>24</v>
      </c>
      <c r="K10" s="1" t="str">
        <f t="shared" si="0"/>
        <v>Détection du fichier (HIT, HISTO_F07, HISTO_F08, DARWIN, FEOR_XML, …)</v>
      </c>
      <c r="L10" s="1" t="s">
        <v>29</v>
      </c>
      <c r="M10" s="1" t="s">
        <v>16</v>
      </c>
      <c r="O10" s="1" t="s">
        <v>40</v>
      </c>
      <c r="S10" s="1" t="s">
        <v>46</v>
      </c>
      <c r="T10" s="1" t="s">
        <v>47</v>
      </c>
    </row>
    <row r="11" spans="1:20" ht="38.25" x14ac:dyDescent="0.2">
      <c r="A11" s="3" t="s">
        <v>56</v>
      </c>
      <c r="D11" s="1" t="s">
        <v>57</v>
      </c>
      <c r="F11" s="1">
        <v>2014</v>
      </c>
      <c r="G11" s="2">
        <v>42478</v>
      </c>
      <c r="H11" s="1" t="s">
        <v>11</v>
      </c>
      <c r="I11" s="1" t="s">
        <v>27</v>
      </c>
      <c r="K11" s="1" t="str">
        <f t="shared" si="0"/>
        <v>Contrôle de présence de la Localisation</v>
      </c>
      <c r="L11" s="1" t="s">
        <v>58</v>
      </c>
    </row>
    <row r="12" spans="1:20" x14ac:dyDescent="0.2">
      <c r="A12" s="3"/>
      <c r="F12" s="1">
        <v>2014</v>
      </c>
      <c r="G12" s="2">
        <v>42478</v>
      </c>
      <c r="H12" s="1" t="s">
        <v>11</v>
      </c>
      <c r="I12" s="1" t="s">
        <v>27</v>
      </c>
    </row>
    <row r="13" spans="1:20" x14ac:dyDescent="0.2">
      <c r="A13" s="3"/>
      <c r="F13" s="1">
        <v>2014</v>
      </c>
      <c r="G13" s="2">
        <v>42478</v>
      </c>
      <c r="H13" s="1" t="s">
        <v>11</v>
      </c>
      <c r="I13" s="1" t="s">
        <v>27</v>
      </c>
    </row>
    <row r="14" spans="1:20" ht="25.5" x14ac:dyDescent="0.2">
      <c r="A14" s="1" t="s">
        <v>49</v>
      </c>
      <c r="D14" s="1" t="s">
        <v>48</v>
      </c>
      <c r="F14" s="1">
        <v>2014</v>
      </c>
      <c r="G14" s="2">
        <v>42478</v>
      </c>
      <c r="H14" s="1" t="s">
        <v>11</v>
      </c>
      <c r="I14" s="1" t="s">
        <v>27</v>
      </c>
      <c r="J14" s="1" t="s">
        <v>3</v>
      </c>
      <c r="K14" s="1" t="str">
        <f t="shared" si="0"/>
        <v>Contrôle de nullité du champ Département dans un HIT</v>
      </c>
      <c r="L14" s="1" t="s">
        <v>51</v>
      </c>
      <c r="M14" s="1" t="s">
        <v>16</v>
      </c>
      <c r="N14" s="1">
        <v>1</v>
      </c>
      <c r="O14" s="1" t="s">
        <v>52</v>
      </c>
      <c r="P14" s="1">
        <v>1</v>
      </c>
      <c r="Q14" s="4" t="s">
        <v>53</v>
      </c>
      <c r="R14" s="1" t="s">
        <v>54</v>
      </c>
      <c r="S14" s="1" t="s">
        <v>46</v>
      </c>
      <c r="T14" s="1" t="s">
        <v>55</v>
      </c>
    </row>
    <row r="15" spans="1:20" ht="25.5" x14ac:dyDescent="0.2">
      <c r="A15" s="1" t="s">
        <v>49</v>
      </c>
      <c r="D15" s="1" t="s">
        <v>63</v>
      </c>
      <c r="F15" s="1">
        <v>2014</v>
      </c>
      <c r="G15" s="2">
        <v>42478</v>
      </c>
      <c r="H15" s="1" t="s">
        <v>11</v>
      </c>
      <c r="I15" s="1" t="s">
        <v>27</v>
      </c>
      <c r="J15" s="1" t="s">
        <v>3</v>
      </c>
      <c r="K15" s="1" t="str">
        <f t="shared" si="0"/>
        <v>Contrôle de format du champ Département dans un HIT</v>
      </c>
      <c r="L15" s="1" t="s">
        <v>64</v>
      </c>
      <c r="M15" s="1" t="s">
        <v>16</v>
      </c>
      <c r="N15" s="1">
        <v>1</v>
      </c>
      <c r="O15" s="1" t="s">
        <v>257</v>
      </c>
      <c r="P15" s="1">
        <v>1</v>
      </c>
      <c r="Q15" s="4" t="s">
        <v>53</v>
      </c>
      <c r="R15" s="1" t="s">
        <v>263</v>
      </c>
      <c r="S15" s="1" t="s">
        <v>46</v>
      </c>
      <c r="T15" s="1" t="s">
        <v>55</v>
      </c>
    </row>
    <row r="16" spans="1:20" ht="38.25" x14ac:dyDescent="0.2">
      <c r="A16" s="1" t="s">
        <v>49</v>
      </c>
      <c r="D16" s="1" t="s">
        <v>256</v>
      </c>
      <c r="F16" s="1">
        <v>2014</v>
      </c>
      <c r="G16" s="2">
        <v>42478</v>
      </c>
      <c r="H16" s="1" t="s">
        <v>11</v>
      </c>
      <c r="I16" s="1" t="s">
        <v>27</v>
      </c>
      <c r="J16" s="1" t="s">
        <v>3</v>
      </c>
      <c r="K16" s="1" t="str">
        <f t="shared" si="0"/>
        <v>Contrôle de la nomenclature du champ Département dans un HIT</v>
      </c>
      <c r="L16" s="1" t="s">
        <v>260</v>
      </c>
      <c r="M16" s="1" t="s">
        <v>16</v>
      </c>
      <c r="N16" s="1">
        <v>1</v>
      </c>
      <c r="O16" s="1" t="s">
        <v>261</v>
      </c>
      <c r="P16" s="1">
        <v>1</v>
      </c>
      <c r="Q16" s="4" t="s">
        <v>53</v>
      </c>
      <c r="R16" s="1" t="s">
        <v>262</v>
      </c>
      <c r="S16" s="1" t="s">
        <v>46</v>
      </c>
      <c r="T16" s="1" t="s">
        <v>55</v>
      </c>
    </row>
    <row r="17" spans="1:20" ht="63.75" x14ac:dyDescent="0.2">
      <c r="A17" s="1" t="s">
        <v>49</v>
      </c>
      <c r="D17" s="1" t="s">
        <v>258</v>
      </c>
      <c r="F17" s="1">
        <v>2014</v>
      </c>
      <c r="G17" s="2">
        <v>42478</v>
      </c>
      <c r="H17" s="1" t="s">
        <v>11</v>
      </c>
      <c r="I17" s="1" t="s">
        <v>27</v>
      </c>
      <c r="J17" s="1" t="s">
        <v>3</v>
      </c>
      <c r="K17" s="1" t="str">
        <f t="shared" si="0"/>
        <v>Contrôle de l'expression régulière du champ Département dans un HIT</v>
      </c>
      <c r="L17" s="1" t="s">
        <v>259</v>
      </c>
      <c r="M17" s="1" t="s">
        <v>16</v>
      </c>
      <c r="N17" s="1">
        <v>1</v>
      </c>
      <c r="O17" s="1" t="s">
        <v>265</v>
      </c>
      <c r="P17" s="1">
        <v>1</v>
      </c>
      <c r="Q17" s="4" t="s">
        <v>53</v>
      </c>
      <c r="R17" s="1" t="s">
        <v>264</v>
      </c>
      <c r="S17" s="1" t="s">
        <v>46</v>
      </c>
      <c r="T17" s="1" t="s">
        <v>55</v>
      </c>
    </row>
  </sheetData>
  <mergeCells count="1">
    <mergeCell ref="A3:A10"/>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7"/>
  <sheetViews>
    <sheetView workbookViewId="0">
      <selection activeCell="E14" sqref="E14"/>
    </sheetView>
  </sheetViews>
  <sheetFormatPr baseColWidth="10" defaultRowHeight="12.75" x14ac:dyDescent="0.2"/>
  <cols>
    <col min="1" max="1" width="11.42578125" style="10"/>
    <col min="2" max="2" width="13" style="10" customWidth="1"/>
    <col min="3" max="3" width="16.85546875" style="10" customWidth="1"/>
    <col min="4" max="4" width="37.28515625" style="10" customWidth="1"/>
    <col min="5" max="5" width="62.140625" style="10" customWidth="1"/>
    <col min="6" max="16384" width="11.42578125" style="10"/>
  </cols>
  <sheetData>
    <row r="1" spans="1:5" s="9" customFormat="1" ht="19.5" customHeight="1" x14ac:dyDescent="0.2">
      <c r="A1" s="12" t="s">
        <v>82</v>
      </c>
      <c r="B1" s="12" t="s">
        <v>65</v>
      </c>
      <c r="C1" s="12" t="s">
        <v>67</v>
      </c>
      <c r="D1" s="12" t="s">
        <v>75</v>
      </c>
      <c r="E1" s="12" t="s">
        <v>114</v>
      </c>
    </row>
    <row r="2" spans="1:5" x14ac:dyDescent="0.2">
      <c r="A2" s="13">
        <v>1</v>
      </c>
      <c r="B2" s="13" t="s">
        <v>21</v>
      </c>
      <c r="C2" s="13" t="s">
        <v>10</v>
      </c>
      <c r="D2" s="13" t="s">
        <v>76</v>
      </c>
      <c r="E2" s="13" t="s">
        <v>106</v>
      </c>
    </row>
    <row r="3" spans="1:5" x14ac:dyDescent="0.2">
      <c r="A3" s="13">
        <v>2</v>
      </c>
      <c r="B3" s="13" t="s">
        <v>21</v>
      </c>
      <c r="C3" s="13" t="s">
        <v>10</v>
      </c>
      <c r="D3" s="13" t="s">
        <v>116</v>
      </c>
      <c r="E3" s="13" t="s">
        <v>79</v>
      </c>
    </row>
    <row r="4" spans="1:5" x14ac:dyDescent="0.2">
      <c r="A4" s="13">
        <v>3</v>
      </c>
      <c r="B4" s="13" t="s">
        <v>21</v>
      </c>
      <c r="C4" s="13" t="s">
        <v>10</v>
      </c>
      <c r="D4" s="13" t="s">
        <v>77</v>
      </c>
      <c r="E4" s="13" t="s">
        <v>117</v>
      </c>
    </row>
    <row r="5" spans="1:5" x14ac:dyDescent="0.2">
      <c r="A5" s="13">
        <v>4</v>
      </c>
      <c r="B5" s="13" t="s">
        <v>21</v>
      </c>
      <c r="C5" s="13" t="s">
        <v>10</v>
      </c>
      <c r="D5" s="13" t="s">
        <v>78</v>
      </c>
      <c r="E5" s="13" t="s">
        <v>80</v>
      </c>
    </row>
    <row r="6" spans="1:5" x14ac:dyDescent="0.2">
      <c r="A6" s="13">
        <v>5</v>
      </c>
      <c r="B6" s="13" t="s">
        <v>21</v>
      </c>
      <c r="C6" s="13" t="s">
        <v>10</v>
      </c>
      <c r="D6" s="13" t="s">
        <v>83</v>
      </c>
      <c r="E6" s="13" t="s">
        <v>84</v>
      </c>
    </row>
    <row r="7" spans="1:5" x14ac:dyDescent="0.2">
      <c r="A7" s="13">
        <v>6</v>
      </c>
      <c r="B7" s="13" t="s">
        <v>21</v>
      </c>
      <c r="C7" s="13" t="s">
        <v>10</v>
      </c>
      <c r="D7" s="13" t="s">
        <v>85</v>
      </c>
      <c r="E7" s="13" t="s">
        <v>86</v>
      </c>
    </row>
    <row r="8" spans="1:5" x14ac:dyDescent="0.2">
      <c r="A8" s="13">
        <v>7</v>
      </c>
      <c r="B8" s="13" t="s">
        <v>21</v>
      </c>
      <c r="C8" s="13" t="s">
        <v>10</v>
      </c>
      <c r="D8" s="13" t="s">
        <v>87</v>
      </c>
      <c r="E8" s="13" t="s">
        <v>88</v>
      </c>
    </row>
    <row r="9" spans="1:5" x14ac:dyDescent="0.2">
      <c r="A9" s="13">
        <v>8</v>
      </c>
      <c r="B9" s="13" t="s">
        <v>21</v>
      </c>
      <c r="C9" s="13" t="s">
        <v>10</v>
      </c>
      <c r="D9" s="13" t="s">
        <v>89</v>
      </c>
      <c r="E9" s="13" t="s">
        <v>90</v>
      </c>
    </row>
    <row r="10" spans="1:5" x14ac:dyDescent="0.2">
      <c r="A10" s="13">
        <v>9</v>
      </c>
      <c r="B10" s="13" t="s">
        <v>21</v>
      </c>
      <c r="C10" s="13" t="s">
        <v>10</v>
      </c>
      <c r="D10" s="13" t="s">
        <v>91</v>
      </c>
      <c r="E10" s="13" t="s">
        <v>92</v>
      </c>
    </row>
    <row r="11" spans="1:5" x14ac:dyDescent="0.2">
      <c r="A11" s="13">
        <v>10</v>
      </c>
      <c r="B11" s="13" t="s">
        <v>21</v>
      </c>
      <c r="C11" s="13" t="s">
        <v>10</v>
      </c>
      <c r="D11" s="13" t="s">
        <v>93</v>
      </c>
      <c r="E11" s="13" t="s">
        <v>94</v>
      </c>
    </row>
    <row r="12" spans="1:5" x14ac:dyDescent="0.2">
      <c r="A12" s="13">
        <v>11</v>
      </c>
      <c r="B12" s="13" t="s">
        <v>21</v>
      </c>
      <c r="C12" s="13" t="s">
        <v>10</v>
      </c>
      <c r="D12" s="13" t="s">
        <v>95</v>
      </c>
      <c r="E12" s="13" t="s">
        <v>96</v>
      </c>
    </row>
    <row r="13" spans="1:5" x14ac:dyDescent="0.2">
      <c r="A13" s="13">
        <v>12</v>
      </c>
      <c r="B13" s="13" t="s">
        <v>21</v>
      </c>
      <c r="C13" s="13" t="s">
        <v>10</v>
      </c>
      <c r="D13" s="13" t="s">
        <v>97</v>
      </c>
      <c r="E13" s="13" t="s">
        <v>98</v>
      </c>
    </row>
    <row r="14" spans="1:5" x14ac:dyDescent="0.2">
      <c r="A14" s="13">
        <v>13</v>
      </c>
      <c r="B14" s="13" t="s">
        <v>21</v>
      </c>
      <c r="C14" s="13" t="s">
        <v>71</v>
      </c>
      <c r="D14" s="13" t="s">
        <v>210</v>
      </c>
      <c r="E14" s="13" t="s">
        <v>211</v>
      </c>
    </row>
    <row r="15" spans="1:5" x14ac:dyDescent="0.2">
      <c r="A15" s="13">
        <v>14</v>
      </c>
      <c r="B15" s="13" t="s">
        <v>21</v>
      </c>
      <c r="C15" s="13" t="s">
        <v>72</v>
      </c>
      <c r="D15" s="13" t="s">
        <v>76</v>
      </c>
      <c r="E15" s="13" t="s">
        <v>81</v>
      </c>
    </row>
    <row r="16" spans="1:5" x14ac:dyDescent="0.2">
      <c r="A16" s="13">
        <v>15</v>
      </c>
      <c r="B16" s="13" t="s">
        <v>21</v>
      </c>
      <c r="C16" s="13" t="s">
        <v>72</v>
      </c>
      <c r="D16" s="13" t="s">
        <v>102</v>
      </c>
      <c r="E16" s="13" t="s">
        <v>112</v>
      </c>
    </row>
    <row r="17" spans="1:5" x14ac:dyDescent="0.2">
      <c r="A17" s="13">
        <v>16</v>
      </c>
      <c r="B17" s="13" t="s">
        <v>21</v>
      </c>
      <c r="C17" s="13" t="s">
        <v>74</v>
      </c>
      <c r="D17" s="13" t="s">
        <v>102</v>
      </c>
      <c r="E17" s="13" t="s">
        <v>110</v>
      </c>
    </row>
    <row r="18" spans="1:5" x14ac:dyDescent="0.2">
      <c r="A18" s="13">
        <v>17</v>
      </c>
      <c r="B18" s="13" t="s">
        <v>21</v>
      </c>
      <c r="C18" s="13" t="s">
        <v>74</v>
      </c>
      <c r="D18" s="13" t="s">
        <v>103</v>
      </c>
      <c r="E18" s="13" t="s">
        <v>111</v>
      </c>
    </row>
    <row r="19" spans="1:5" x14ac:dyDescent="0.2">
      <c r="A19" s="13">
        <v>18</v>
      </c>
      <c r="B19" s="13" t="s">
        <v>21</v>
      </c>
      <c r="C19" s="13" t="s">
        <v>74</v>
      </c>
      <c r="D19" s="13" t="s">
        <v>104</v>
      </c>
      <c r="E19" s="13" t="s">
        <v>113</v>
      </c>
    </row>
    <row r="20" spans="1:5" x14ac:dyDescent="0.2">
      <c r="A20" s="13">
        <v>19</v>
      </c>
      <c r="B20" s="13" t="s">
        <v>21</v>
      </c>
      <c r="C20" s="13" t="s">
        <v>74</v>
      </c>
      <c r="D20" s="13" t="s">
        <v>105</v>
      </c>
      <c r="E20" s="13" t="s">
        <v>115</v>
      </c>
    </row>
    <row r="21" spans="1:5" x14ac:dyDescent="0.2">
      <c r="B21" s="10" t="s">
        <v>66</v>
      </c>
      <c r="C21" s="10" t="s">
        <v>10</v>
      </c>
      <c r="D21" s="10" t="s">
        <v>76</v>
      </c>
      <c r="E21" s="10" t="s">
        <v>107</v>
      </c>
    </row>
    <row r="22" spans="1:5" x14ac:dyDescent="0.2">
      <c r="B22" s="10" t="s">
        <v>66</v>
      </c>
      <c r="C22" s="10" t="s">
        <v>72</v>
      </c>
      <c r="D22" s="10" t="s">
        <v>76</v>
      </c>
      <c r="E22" s="10" t="s">
        <v>108</v>
      </c>
    </row>
    <row r="23" spans="1:5" x14ac:dyDescent="0.2">
      <c r="B23" s="10" t="s">
        <v>66</v>
      </c>
      <c r="C23" s="10" t="s">
        <v>74</v>
      </c>
      <c r="D23" s="10" t="s">
        <v>102</v>
      </c>
      <c r="E23" s="10" t="s">
        <v>109</v>
      </c>
    </row>
    <row r="24" spans="1:5" x14ac:dyDescent="0.2">
      <c r="D24" s="10" t="s">
        <v>76</v>
      </c>
    </row>
    <row r="25" spans="1:5" x14ac:dyDescent="0.2">
      <c r="D25" s="10" t="s">
        <v>76</v>
      </c>
    </row>
    <row r="26" spans="1:5" x14ac:dyDescent="0.2">
      <c r="D26" s="10" t="s">
        <v>76</v>
      </c>
    </row>
    <row r="27" spans="1:5" x14ac:dyDescent="0.2">
      <c r="D27" s="10" t="s">
        <v>76</v>
      </c>
    </row>
    <row r="28" spans="1:5" x14ac:dyDescent="0.2">
      <c r="D28" s="10" t="s">
        <v>76</v>
      </c>
    </row>
    <row r="29" spans="1:5" x14ac:dyDescent="0.2">
      <c r="D29" s="10" t="s">
        <v>76</v>
      </c>
    </row>
    <row r="30" spans="1:5" x14ac:dyDescent="0.2">
      <c r="D30" s="10" t="s">
        <v>76</v>
      </c>
    </row>
    <row r="31" spans="1:5" x14ac:dyDescent="0.2">
      <c r="D31" s="10" t="s">
        <v>76</v>
      </c>
    </row>
    <row r="32" spans="1:5" x14ac:dyDescent="0.2">
      <c r="D32" s="10" t="s">
        <v>76</v>
      </c>
    </row>
    <row r="33" spans="4:4" x14ac:dyDescent="0.2">
      <c r="D33" s="10" t="s">
        <v>76</v>
      </c>
    </row>
    <row r="34" spans="4:4" x14ac:dyDescent="0.2">
      <c r="D34" s="10" t="s">
        <v>76</v>
      </c>
    </row>
    <row r="35" spans="4:4" x14ac:dyDescent="0.2">
      <c r="D35" s="10" t="s">
        <v>76</v>
      </c>
    </row>
    <row r="36" spans="4:4" x14ac:dyDescent="0.2">
      <c r="D36" s="10" t="s">
        <v>76</v>
      </c>
    </row>
    <row r="37" spans="4:4" x14ac:dyDescent="0.2">
      <c r="D37" s="10" t="s">
        <v>76</v>
      </c>
    </row>
    <row r="38" spans="4:4" x14ac:dyDescent="0.2">
      <c r="D38" s="10" t="s">
        <v>76</v>
      </c>
    </row>
    <row r="39" spans="4:4" x14ac:dyDescent="0.2">
      <c r="D39" s="10" t="s">
        <v>76</v>
      </c>
    </row>
    <row r="40" spans="4:4" x14ac:dyDescent="0.2">
      <c r="D40" s="10" t="s">
        <v>76</v>
      </c>
    </row>
    <row r="41" spans="4:4" x14ac:dyDescent="0.2">
      <c r="D41" s="10" t="s">
        <v>76</v>
      </c>
    </row>
    <row r="42" spans="4:4" x14ac:dyDescent="0.2">
      <c r="D42" s="10" t="s">
        <v>76</v>
      </c>
    </row>
    <row r="43" spans="4:4" x14ac:dyDescent="0.2">
      <c r="D43" s="10" t="s">
        <v>76</v>
      </c>
    </row>
    <row r="44" spans="4:4" x14ac:dyDescent="0.2">
      <c r="D44" s="10" t="s">
        <v>76</v>
      </c>
    </row>
    <row r="45" spans="4:4" x14ac:dyDescent="0.2">
      <c r="D45" s="10" t="s">
        <v>76</v>
      </c>
    </row>
    <row r="46" spans="4:4" x14ac:dyDescent="0.2">
      <c r="D46" s="10" t="s">
        <v>76</v>
      </c>
    </row>
    <row r="47" spans="4:4" x14ac:dyDescent="0.2">
      <c r="D47" s="10" t="s">
        <v>76</v>
      </c>
    </row>
  </sheetData>
  <autoFilter ref="B1:D47"/>
  <sortState ref="A2:E46">
    <sortCondition ref="A2:A46"/>
  </sortState>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Niveaux!$B$2:$B$7</xm:f>
          </x14:formula1>
          <xm:sqref>C2:C41</xm:sqref>
        </x14:dataValidation>
        <x14:dataValidation type="list" allowBlank="1" showInputMessage="1" showErrorMessage="1">
          <x14:formula1>
            <xm:f>Lieux!$B$2:$B$3</xm:f>
          </x14:formula1>
          <xm:sqref>B2:B47</xm:sqref>
        </x14:dataValidation>
        <x14:dataValidation type="list" allowBlank="1" showInputMessage="1" showErrorMessage="1">
          <x14:formula1>
            <xm:f>Type!$B$2:$B$19</xm:f>
          </x14:formula1>
          <xm:sqref>D2:D47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activeCell="D6" sqref="D6"/>
    </sheetView>
  </sheetViews>
  <sheetFormatPr baseColWidth="10" defaultRowHeight="12.75" x14ac:dyDescent="0.2"/>
  <cols>
    <col min="1" max="1" width="9.28515625" customWidth="1"/>
    <col min="2" max="2" width="24" customWidth="1"/>
  </cols>
  <sheetData>
    <row r="1" spans="1:2" x14ac:dyDescent="0.2">
      <c r="A1" t="str">
        <f t="array" ref="A1:B3">[1]!All</f>
        <v>id_lieu</v>
      </c>
      <c r="B1" t="str">
        <v>lieu</v>
      </c>
    </row>
    <row r="2" spans="1:2" x14ac:dyDescent="0.2">
      <c r="A2">
        <v>1</v>
      </c>
      <c r="B2" t="str">
        <v>Métier</v>
      </c>
    </row>
    <row r="3" spans="1:2" x14ac:dyDescent="0.2">
      <c r="A3">
        <v>2</v>
      </c>
      <c r="B3" t="str">
        <v>Surface</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D16" sqref="D16"/>
    </sheetView>
  </sheetViews>
  <sheetFormatPr baseColWidth="10" defaultRowHeight="12.75" x14ac:dyDescent="0.2"/>
  <cols>
    <col min="2" max="2" width="37.5703125" bestFit="1" customWidth="1"/>
  </cols>
  <sheetData>
    <row r="1" spans="1:2" x14ac:dyDescent="0.2">
      <c r="A1" s="6" t="s">
        <v>68</v>
      </c>
      <c r="B1" s="6" t="s">
        <v>69</v>
      </c>
    </row>
    <row r="2" spans="1:2" x14ac:dyDescent="0.2">
      <c r="A2" s="7">
        <v>1</v>
      </c>
      <c r="B2" s="8" t="s">
        <v>70</v>
      </c>
    </row>
    <row r="3" spans="1:2" x14ac:dyDescent="0.2">
      <c r="A3" s="7">
        <v>2</v>
      </c>
      <c r="B3" s="8" t="s">
        <v>10</v>
      </c>
    </row>
    <row r="4" spans="1:2" x14ac:dyDescent="0.2">
      <c r="A4" s="7">
        <v>3</v>
      </c>
      <c r="B4" s="8" t="s">
        <v>71</v>
      </c>
    </row>
    <row r="5" spans="1:2" x14ac:dyDescent="0.2">
      <c r="A5" s="7">
        <v>4</v>
      </c>
      <c r="B5" s="8" t="s">
        <v>72</v>
      </c>
    </row>
    <row r="6" spans="1:2" x14ac:dyDescent="0.2">
      <c r="A6" s="7">
        <v>5</v>
      </c>
      <c r="B6" s="8" t="s">
        <v>73</v>
      </c>
    </row>
    <row r="7" spans="1:2" x14ac:dyDescent="0.2">
      <c r="A7" s="7">
        <v>6</v>
      </c>
      <c r="B7" s="8" t="s">
        <v>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9"/>
  <sheetViews>
    <sheetView workbookViewId="0">
      <selection activeCell="J20" sqref="J20"/>
    </sheetView>
  </sheetViews>
  <sheetFormatPr baseColWidth="10" defaultRowHeight="12.75" x14ac:dyDescent="0.2"/>
  <cols>
    <col min="1" max="1" width="9.85546875" bestFit="1" customWidth="1"/>
    <col min="2" max="2" width="27.85546875" bestFit="1" customWidth="1"/>
  </cols>
  <sheetData>
    <row r="1" spans="1:2" x14ac:dyDescent="0.2">
      <c r="A1" t="s">
        <v>99</v>
      </c>
      <c r="B1" t="s">
        <v>100</v>
      </c>
    </row>
    <row r="2" spans="1:2" x14ac:dyDescent="0.2">
      <c r="A2">
        <v>18</v>
      </c>
      <c r="B2" t="s">
        <v>210</v>
      </c>
    </row>
    <row r="3" spans="1:2" x14ac:dyDescent="0.2">
      <c r="A3">
        <v>1</v>
      </c>
      <c r="B3" t="s">
        <v>76</v>
      </c>
    </row>
    <row r="4" spans="1:2" x14ac:dyDescent="0.2">
      <c r="A4">
        <v>2</v>
      </c>
      <c r="B4" t="s">
        <v>116</v>
      </c>
    </row>
    <row r="5" spans="1:2" x14ac:dyDescent="0.2">
      <c r="A5">
        <v>3</v>
      </c>
      <c r="B5" t="s">
        <v>77</v>
      </c>
    </row>
    <row r="6" spans="1:2" x14ac:dyDescent="0.2">
      <c r="A6">
        <v>4</v>
      </c>
      <c r="B6" t="s">
        <v>78</v>
      </c>
    </row>
    <row r="7" spans="1:2" x14ac:dyDescent="0.2">
      <c r="A7">
        <v>5</v>
      </c>
      <c r="B7" t="s">
        <v>83</v>
      </c>
    </row>
    <row r="8" spans="1:2" x14ac:dyDescent="0.2">
      <c r="A8">
        <v>6</v>
      </c>
      <c r="B8" t="s">
        <v>85</v>
      </c>
    </row>
    <row r="9" spans="1:2" x14ac:dyDescent="0.2">
      <c r="A9">
        <v>7</v>
      </c>
      <c r="B9" t="s">
        <v>87</v>
      </c>
    </row>
    <row r="10" spans="1:2" x14ac:dyDescent="0.2">
      <c r="A10">
        <v>8</v>
      </c>
      <c r="B10" t="s">
        <v>89</v>
      </c>
    </row>
    <row r="11" spans="1:2" x14ac:dyDescent="0.2">
      <c r="A11">
        <v>9</v>
      </c>
      <c r="B11" t="s">
        <v>91</v>
      </c>
    </row>
    <row r="12" spans="1:2" x14ac:dyDescent="0.2">
      <c r="A12">
        <v>10</v>
      </c>
      <c r="B12" t="s">
        <v>93</v>
      </c>
    </row>
    <row r="13" spans="1:2" x14ac:dyDescent="0.2">
      <c r="A13">
        <v>11</v>
      </c>
      <c r="B13" t="s">
        <v>95</v>
      </c>
    </row>
    <row r="14" spans="1:2" x14ac:dyDescent="0.2">
      <c r="A14">
        <v>12</v>
      </c>
      <c r="B14" t="s">
        <v>97</v>
      </c>
    </row>
    <row r="15" spans="1:2" x14ac:dyDescent="0.2">
      <c r="A15">
        <v>13</v>
      </c>
      <c r="B15" t="s">
        <v>101</v>
      </c>
    </row>
    <row r="16" spans="1:2" x14ac:dyDescent="0.2">
      <c r="A16">
        <v>14</v>
      </c>
      <c r="B16" t="s">
        <v>102</v>
      </c>
    </row>
    <row r="17" spans="1:2" x14ac:dyDescent="0.2">
      <c r="A17">
        <v>15</v>
      </c>
      <c r="B17" t="s">
        <v>103</v>
      </c>
    </row>
    <row r="18" spans="1:2" x14ac:dyDescent="0.2">
      <c r="A18">
        <v>16</v>
      </c>
      <c r="B18" t="s">
        <v>104</v>
      </c>
    </row>
    <row r="19" spans="1:2" x14ac:dyDescent="0.2">
      <c r="A19">
        <v>17</v>
      </c>
      <c r="B19" t="s">
        <v>105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3"/>
  <sheetViews>
    <sheetView workbookViewId="0">
      <selection activeCell="D16" sqref="D16"/>
    </sheetView>
  </sheetViews>
  <sheetFormatPr baseColWidth="10" defaultRowHeight="12.75" x14ac:dyDescent="0.2"/>
  <cols>
    <col min="1" max="1" width="11.42578125" style="1"/>
    <col min="2" max="2" width="11.42578125" style="5"/>
    <col min="3" max="3" width="14.7109375" style="1" customWidth="1"/>
    <col min="4" max="4" width="11.42578125" style="1"/>
    <col min="5" max="5" width="23.7109375" style="1" customWidth="1"/>
    <col min="6" max="6" width="28.28515625" style="1" customWidth="1"/>
    <col min="7" max="7" width="13.42578125" style="1" customWidth="1"/>
    <col min="8" max="8" width="11.42578125" style="1"/>
    <col min="9" max="9" width="13.42578125" style="1" customWidth="1"/>
    <col min="10" max="10" width="64.7109375" style="1" customWidth="1"/>
    <col min="11" max="11" width="11.42578125" style="1"/>
    <col min="12" max="12" width="14.7109375" style="1" customWidth="1"/>
    <col min="13" max="16384" width="11.42578125" style="1"/>
  </cols>
  <sheetData>
    <row r="1" spans="1:25" s="5" customFormat="1" ht="18" customHeight="1" x14ac:dyDescent="0.2">
      <c r="A1" s="20" t="s">
        <v>160</v>
      </c>
      <c r="B1" s="21" t="s">
        <v>118</v>
      </c>
      <c r="C1" s="21" t="s">
        <v>121</v>
      </c>
      <c r="D1" s="21" t="s">
        <v>123</v>
      </c>
      <c r="E1" s="21" t="s">
        <v>157</v>
      </c>
      <c r="F1" s="21" t="s">
        <v>124</v>
      </c>
      <c r="G1" s="21" t="s">
        <v>139</v>
      </c>
      <c r="H1" s="22" t="s">
        <v>125</v>
      </c>
      <c r="I1" s="16"/>
      <c r="J1" s="16"/>
    </row>
    <row r="2" spans="1:25" s="5" customFormat="1" ht="19.5" customHeight="1" thickBot="1" x14ac:dyDescent="0.25">
      <c r="A2" s="23" t="s">
        <v>161</v>
      </c>
      <c r="B2" s="24" t="s">
        <v>119</v>
      </c>
      <c r="C2" s="24" t="s">
        <v>9</v>
      </c>
      <c r="D2" s="24" t="s">
        <v>122</v>
      </c>
      <c r="E2" s="24" t="s">
        <v>153</v>
      </c>
      <c r="F2" s="24" t="s">
        <v>126</v>
      </c>
      <c r="G2" s="24" t="s">
        <v>75</v>
      </c>
      <c r="H2" s="25" t="s">
        <v>65</v>
      </c>
      <c r="I2" s="16"/>
      <c r="J2" s="16"/>
    </row>
    <row r="3" spans="1:25" s="5" customFormat="1" ht="25.5" x14ac:dyDescent="0.2">
      <c r="B3" s="18">
        <v>42477</v>
      </c>
      <c r="C3" s="19" t="s">
        <v>11</v>
      </c>
      <c r="D3" s="19" t="s">
        <v>70</v>
      </c>
      <c r="E3" s="19" t="s">
        <v>154</v>
      </c>
      <c r="F3" s="19" t="s">
        <v>129</v>
      </c>
      <c r="G3" s="19" t="s">
        <v>131</v>
      </c>
      <c r="H3" s="19" t="s">
        <v>134</v>
      </c>
      <c r="I3" s="17"/>
      <c r="J3" s="17"/>
      <c r="L3" s="1" t="s">
        <v>130</v>
      </c>
      <c r="M3" s="1"/>
      <c r="N3" s="1"/>
      <c r="O3" s="1"/>
      <c r="P3" s="1"/>
      <c r="Q3" s="1"/>
      <c r="R3" s="1"/>
      <c r="S3" s="1"/>
      <c r="T3" s="1"/>
      <c r="U3" s="1"/>
      <c r="V3" s="1"/>
      <c r="W3" s="1"/>
      <c r="X3" s="1"/>
      <c r="Y3" s="1"/>
    </row>
    <row r="4" spans="1:25" s="5" customFormat="1" ht="38.25" x14ac:dyDescent="0.2">
      <c r="B4" s="14">
        <v>42477</v>
      </c>
      <c r="C4" s="15" t="s">
        <v>11</v>
      </c>
      <c r="D4" s="15" t="s">
        <v>70</v>
      </c>
      <c r="E4" s="15" t="s">
        <v>154</v>
      </c>
      <c r="F4" s="15" t="s">
        <v>133</v>
      </c>
      <c r="G4" s="15" t="s">
        <v>131</v>
      </c>
      <c r="H4" s="15" t="s">
        <v>134</v>
      </c>
      <c r="I4" s="17"/>
      <c r="J4" s="17"/>
      <c r="L4" s="1" t="s">
        <v>130</v>
      </c>
      <c r="M4" s="1"/>
      <c r="N4" s="1"/>
      <c r="O4" s="1"/>
      <c r="P4" s="1"/>
      <c r="Q4" s="1"/>
      <c r="R4" s="1"/>
      <c r="S4" s="1"/>
      <c r="T4" s="1"/>
      <c r="U4" s="1"/>
      <c r="V4" s="1"/>
      <c r="W4" s="1"/>
      <c r="X4" s="1"/>
      <c r="Y4" s="1"/>
    </row>
    <row r="5" spans="1:25" ht="25.5" x14ac:dyDescent="0.2">
      <c r="B5" s="14">
        <v>42483</v>
      </c>
      <c r="C5" s="15" t="s">
        <v>120</v>
      </c>
      <c r="D5" s="15" t="s">
        <v>10</v>
      </c>
      <c r="E5" s="15" t="s">
        <v>27</v>
      </c>
      <c r="F5" s="15" t="s">
        <v>137</v>
      </c>
      <c r="G5" s="15" t="s">
        <v>132</v>
      </c>
      <c r="H5" s="15" t="s">
        <v>135</v>
      </c>
      <c r="I5" s="17"/>
      <c r="J5" s="17"/>
      <c r="L5" s="1" t="s">
        <v>136</v>
      </c>
    </row>
    <row r="6" spans="1:25" ht="25.5" x14ac:dyDescent="0.2">
      <c r="B6" s="14">
        <v>42483</v>
      </c>
      <c r="C6" s="15" t="s">
        <v>120</v>
      </c>
      <c r="D6" s="15" t="s">
        <v>10</v>
      </c>
      <c r="E6" s="15" t="s">
        <v>27</v>
      </c>
      <c r="F6" s="15" t="s">
        <v>138</v>
      </c>
      <c r="G6" s="15" t="s">
        <v>140</v>
      </c>
      <c r="H6" s="15" t="s">
        <v>135</v>
      </c>
      <c r="I6" s="17"/>
      <c r="J6" s="17"/>
      <c r="L6" s="1" t="s">
        <v>136</v>
      </c>
    </row>
    <row r="7" spans="1:25" ht="63.75" x14ac:dyDescent="0.2">
      <c r="B7" s="14">
        <v>42484</v>
      </c>
      <c r="C7" s="15" t="s">
        <v>127</v>
      </c>
      <c r="D7" s="15" t="s">
        <v>71</v>
      </c>
      <c r="E7" s="15" t="s">
        <v>155</v>
      </c>
      <c r="F7" s="15" t="s">
        <v>141</v>
      </c>
      <c r="G7" s="15" t="s">
        <v>152</v>
      </c>
      <c r="H7" s="15" t="s">
        <v>135</v>
      </c>
      <c r="I7" s="17"/>
      <c r="J7" s="17"/>
      <c r="L7" s="1" t="s">
        <v>130</v>
      </c>
    </row>
    <row r="8" spans="1:25" ht="25.5" x14ac:dyDescent="0.2">
      <c r="B8" s="14">
        <v>42485</v>
      </c>
      <c r="C8" s="15" t="s">
        <v>120</v>
      </c>
      <c r="D8" s="15" t="s">
        <v>72</v>
      </c>
      <c r="E8" s="15" t="s">
        <v>156</v>
      </c>
      <c r="F8" s="15" t="s">
        <v>142</v>
      </c>
      <c r="G8" s="15" t="s">
        <v>131</v>
      </c>
      <c r="H8" s="15" t="s">
        <v>135</v>
      </c>
      <c r="I8" s="17"/>
      <c r="J8" s="17"/>
    </row>
    <row r="9" spans="1:25" ht="38.25" x14ac:dyDescent="0.2">
      <c r="B9" s="14">
        <v>42486</v>
      </c>
      <c r="C9" s="15" t="s">
        <v>11</v>
      </c>
      <c r="D9" s="15" t="s">
        <v>73</v>
      </c>
      <c r="E9" s="15" t="s">
        <v>158</v>
      </c>
      <c r="F9" s="15" t="s">
        <v>143</v>
      </c>
      <c r="G9" s="15" t="s">
        <v>152</v>
      </c>
      <c r="H9" s="15" t="s">
        <v>135</v>
      </c>
      <c r="I9" s="17"/>
      <c r="J9" s="17"/>
      <c r="L9" s="1" t="s">
        <v>130</v>
      </c>
    </row>
    <row r="10" spans="1:25" ht="25.5" x14ac:dyDescent="0.2">
      <c r="B10" s="14">
        <v>42487</v>
      </c>
      <c r="C10" s="15" t="s">
        <v>128</v>
      </c>
      <c r="D10" s="15" t="s">
        <v>74</v>
      </c>
      <c r="E10" s="15" t="s">
        <v>159</v>
      </c>
      <c r="F10" s="15" t="s">
        <v>144</v>
      </c>
      <c r="G10" s="15" t="s">
        <v>145</v>
      </c>
      <c r="H10" s="15" t="s">
        <v>135</v>
      </c>
      <c r="I10" s="17"/>
      <c r="J10" s="17"/>
    </row>
    <row r="11" spans="1:25" ht="25.5" x14ac:dyDescent="0.2">
      <c r="B11" s="14">
        <v>42487</v>
      </c>
      <c r="C11" s="15" t="s">
        <v>128</v>
      </c>
      <c r="D11" s="15" t="s">
        <v>74</v>
      </c>
      <c r="E11" s="15" t="s">
        <v>159</v>
      </c>
      <c r="F11" s="15" t="s">
        <v>146</v>
      </c>
      <c r="G11" s="15" t="s">
        <v>147</v>
      </c>
      <c r="H11" s="15" t="s">
        <v>135</v>
      </c>
    </row>
    <row r="12" spans="1:25" ht="25.5" x14ac:dyDescent="0.2">
      <c r="B12" s="14">
        <v>42487</v>
      </c>
      <c r="C12" s="15" t="s">
        <v>128</v>
      </c>
      <c r="D12" s="15" t="s">
        <v>74</v>
      </c>
      <c r="E12" s="15" t="s">
        <v>159</v>
      </c>
      <c r="F12" s="15" t="s">
        <v>148</v>
      </c>
      <c r="G12" s="15" t="s">
        <v>149</v>
      </c>
      <c r="H12" s="15" t="s">
        <v>135</v>
      </c>
    </row>
    <row r="13" spans="1:25" ht="25.5" x14ac:dyDescent="0.2">
      <c r="B13" s="14">
        <v>42487</v>
      </c>
      <c r="C13" s="15" t="s">
        <v>128</v>
      </c>
      <c r="D13" s="15" t="s">
        <v>74</v>
      </c>
      <c r="E13" s="15" t="s">
        <v>159</v>
      </c>
      <c r="F13" s="15" t="s">
        <v>150</v>
      </c>
      <c r="G13" s="15" t="s">
        <v>151</v>
      </c>
      <c r="H13" s="15" t="s">
        <v>135</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8"/>
  <sheetViews>
    <sheetView tabSelected="1" workbookViewId="0">
      <pane ySplit="1" topLeftCell="A30" activePane="bottomLeft" state="frozen"/>
      <selection pane="bottomLeft" activeCell="F37" sqref="F37"/>
    </sheetView>
  </sheetViews>
  <sheetFormatPr baseColWidth="10" defaultRowHeight="12.75" x14ac:dyDescent="0.2"/>
  <cols>
    <col min="1" max="1" width="12.5703125" style="1" customWidth="1"/>
    <col min="2" max="2" width="45.7109375" style="1" customWidth="1"/>
    <col min="3" max="3" width="32.7109375" style="1" customWidth="1"/>
    <col min="4" max="4" width="34" style="1" customWidth="1"/>
    <col min="5" max="5" width="12.7109375" style="1" bestFit="1" customWidth="1"/>
    <col min="6" max="16384" width="11.42578125" style="1"/>
  </cols>
  <sheetData>
    <row r="1" spans="1:5" s="26" customFormat="1" ht="29.25" customHeight="1" x14ac:dyDescent="0.2">
      <c r="A1" s="30" t="s">
        <v>168</v>
      </c>
      <c r="B1" s="30" t="s">
        <v>169</v>
      </c>
      <c r="C1" s="30" t="s">
        <v>170</v>
      </c>
      <c r="D1" s="30" t="s">
        <v>164</v>
      </c>
      <c r="E1" s="30" t="s">
        <v>165</v>
      </c>
    </row>
    <row r="2" spans="1:5" ht="38.25" x14ac:dyDescent="0.2">
      <c r="A2" s="15" t="s">
        <v>166</v>
      </c>
      <c r="B2" s="15" t="s">
        <v>187</v>
      </c>
      <c r="C2" s="15" t="s">
        <v>167</v>
      </c>
      <c r="D2" s="15" t="s">
        <v>171</v>
      </c>
      <c r="E2" s="15" t="s">
        <v>162</v>
      </c>
    </row>
    <row r="3" spans="1:5" ht="38.25" x14ac:dyDescent="0.2">
      <c r="A3" s="15" t="s">
        <v>166</v>
      </c>
      <c r="B3" s="15" t="s">
        <v>188</v>
      </c>
      <c r="C3" s="15" t="s">
        <v>172</v>
      </c>
      <c r="D3" s="15" t="s">
        <v>173</v>
      </c>
      <c r="E3" s="15" t="s">
        <v>162</v>
      </c>
    </row>
    <row r="4" spans="1:5" ht="51" x14ac:dyDescent="0.2">
      <c r="A4" s="15" t="s">
        <v>166</v>
      </c>
      <c r="B4" s="15" t="s">
        <v>218</v>
      </c>
      <c r="C4" s="15" t="s">
        <v>219</v>
      </c>
      <c r="D4" s="15" t="s">
        <v>289</v>
      </c>
      <c r="E4" s="15" t="s">
        <v>162</v>
      </c>
    </row>
    <row r="5" spans="1:5" ht="25.5" x14ac:dyDescent="0.2">
      <c r="A5" s="15" t="s">
        <v>166</v>
      </c>
      <c r="B5" s="15" t="s">
        <v>232</v>
      </c>
      <c r="C5" s="15" t="s">
        <v>235</v>
      </c>
      <c r="D5" s="15" t="s">
        <v>236</v>
      </c>
      <c r="E5" s="15" t="s">
        <v>162</v>
      </c>
    </row>
    <row r="6" spans="1:5" ht="38.25" x14ac:dyDescent="0.2">
      <c r="A6" s="15" t="s">
        <v>166</v>
      </c>
      <c r="B6" s="15" t="s">
        <v>233</v>
      </c>
      <c r="C6" s="15" t="s">
        <v>231</v>
      </c>
      <c r="D6" s="15" t="s">
        <v>237</v>
      </c>
      <c r="E6" s="15" t="s">
        <v>234</v>
      </c>
    </row>
    <row r="7" spans="1:5" ht="25.5" x14ac:dyDescent="0.2">
      <c r="A7" s="15" t="s">
        <v>166</v>
      </c>
      <c r="B7" s="15" t="s">
        <v>238</v>
      </c>
      <c r="C7" s="15" t="s">
        <v>239</v>
      </c>
      <c r="D7" s="15" t="s">
        <v>240</v>
      </c>
      <c r="E7" s="15" t="s">
        <v>162</v>
      </c>
    </row>
    <row r="8" spans="1:5" ht="51" x14ac:dyDescent="0.2">
      <c r="A8" s="15" t="s">
        <v>166</v>
      </c>
      <c r="B8" s="15" t="s">
        <v>266</v>
      </c>
      <c r="C8" s="15" t="s">
        <v>267</v>
      </c>
      <c r="D8" s="15" t="s">
        <v>268</v>
      </c>
      <c r="E8" s="15" t="s">
        <v>162</v>
      </c>
    </row>
    <row r="9" spans="1:5" ht="51" x14ac:dyDescent="0.2">
      <c r="A9" s="15" t="s">
        <v>166</v>
      </c>
      <c r="B9" s="15" t="s">
        <v>274</v>
      </c>
      <c r="C9" s="15" t="s">
        <v>275</v>
      </c>
      <c r="D9" s="15" t="s">
        <v>276</v>
      </c>
      <c r="E9" s="15" t="s">
        <v>162</v>
      </c>
    </row>
    <row r="10" spans="1:5" ht="38.25" x14ac:dyDescent="0.2">
      <c r="A10" s="15" t="s">
        <v>166</v>
      </c>
      <c r="B10" s="15" t="s">
        <v>281</v>
      </c>
      <c r="C10" s="15" t="s">
        <v>282</v>
      </c>
      <c r="D10" s="15" t="s">
        <v>283</v>
      </c>
      <c r="E10" s="15" t="s">
        <v>162</v>
      </c>
    </row>
    <row r="11" spans="1:5" ht="63.75" x14ac:dyDescent="0.2">
      <c r="A11" s="15" t="s">
        <v>166</v>
      </c>
      <c r="B11" s="15" t="s">
        <v>317</v>
      </c>
      <c r="C11" s="15" t="s">
        <v>318</v>
      </c>
      <c r="D11" s="15" t="s">
        <v>319</v>
      </c>
      <c r="E11" s="15" t="s">
        <v>162</v>
      </c>
    </row>
    <row r="12" spans="1:5" ht="25.5" x14ac:dyDescent="0.2">
      <c r="A12" s="15" t="s">
        <v>174</v>
      </c>
      <c r="B12" s="15" t="s">
        <v>220</v>
      </c>
      <c r="C12" s="15" t="s">
        <v>175</v>
      </c>
      <c r="D12" s="15" t="s">
        <v>176</v>
      </c>
      <c r="E12" s="15" t="s">
        <v>177</v>
      </c>
    </row>
    <row r="13" spans="1:5" ht="25.5" x14ac:dyDescent="0.2">
      <c r="A13" s="15" t="s">
        <v>174</v>
      </c>
      <c r="B13" s="15" t="s">
        <v>221</v>
      </c>
      <c r="C13" s="15" t="s">
        <v>178</v>
      </c>
      <c r="D13" s="15" t="s">
        <v>179</v>
      </c>
      <c r="E13" s="15" t="s">
        <v>177</v>
      </c>
    </row>
    <row r="14" spans="1:5" ht="25.5" x14ac:dyDescent="0.2">
      <c r="A14" s="15" t="s">
        <v>174</v>
      </c>
      <c r="B14" s="15" t="s">
        <v>222</v>
      </c>
      <c r="C14" s="15" t="s">
        <v>180</v>
      </c>
      <c r="D14" s="15" t="s">
        <v>181</v>
      </c>
      <c r="E14" s="15" t="s">
        <v>177</v>
      </c>
    </row>
    <row r="15" spans="1:5" ht="25.5" x14ac:dyDescent="0.2">
      <c r="A15" s="15" t="s">
        <v>174</v>
      </c>
      <c r="B15" s="15" t="s">
        <v>223</v>
      </c>
      <c r="C15" s="15" t="s">
        <v>182</v>
      </c>
      <c r="D15" s="15" t="s">
        <v>183</v>
      </c>
      <c r="E15" s="15" t="s">
        <v>177</v>
      </c>
    </row>
    <row r="16" spans="1:5" ht="38.25" x14ac:dyDescent="0.2">
      <c r="A16" s="15" t="s">
        <v>174</v>
      </c>
      <c r="B16" s="15" t="s">
        <v>224</v>
      </c>
      <c r="C16" s="15" t="s">
        <v>184</v>
      </c>
      <c r="D16" s="15" t="s">
        <v>185</v>
      </c>
      <c r="E16" s="15" t="s">
        <v>177</v>
      </c>
    </row>
    <row r="17" spans="1:5" ht="51" customHeight="1" x14ac:dyDescent="0.2">
      <c r="A17" s="15" t="s">
        <v>174</v>
      </c>
      <c r="B17" s="15" t="s">
        <v>225</v>
      </c>
      <c r="C17" s="15" t="s">
        <v>186</v>
      </c>
      <c r="D17" s="15" t="s">
        <v>186</v>
      </c>
      <c r="E17" s="15" t="s">
        <v>177</v>
      </c>
    </row>
    <row r="18" spans="1:5" ht="42" customHeight="1" x14ac:dyDescent="0.2">
      <c r="A18" s="15" t="s">
        <v>174</v>
      </c>
      <c r="B18" s="15" t="s">
        <v>226</v>
      </c>
      <c r="C18" s="15" t="s">
        <v>189</v>
      </c>
      <c r="D18" s="15" t="s">
        <v>190</v>
      </c>
      <c r="E18" s="15" t="s">
        <v>177</v>
      </c>
    </row>
    <row r="19" spans="1:5" ht="51" x14ac:dyDescent="0.2">
      <c r="A19" s="15" t="s">
        <v>174</v>
      </c>
      <c r="B19" s="15" t="s">
        <v>252</v>
      </c>
      <c r="C19" s="15" t="s">
        <v>191</v>
      </c>
      <c r="D19" s="15" t="s">
        <v>230</v>
      </c>
      <c r="E19" s="15" t="s">
        <v>177</v>
      </c>
    </row>
    <row r="20" spans="1:5" ht="38.25" x14ac:dyDescent="0.2">
      <c r="A20" s="15" t="s">
        <v>174</v>
      </c>
      <c r="B20" s="15" t="s">
        <v>227</v>
      </c>
      <c r="C20" s="15" t="s">
        <v>199</v>
      </c>
      <c r="D20" s="15" t="s">
        <v>200</v>
      </c>
      <c r="E20" s="15" t="s">
        <v>177</v>
      </c>
    </row>
    <row r="21" spans="1:5" ht="25.5" x14ac:dyDescent="0.2">
      <c r="A21" s="15" t="s">
        <v>174</v>
      </c>
      <c r="B21" s="15" t="s">
        <v>228</v>
      </c>
      <c r="C21" s="15" t="s">
        <v>212</v>
      </c>
      <c r="D21" s="15" t="s">
        <v>213</v>
      </c>
      <c r="E21" s="15" t="s">
        <v>177</v>
      </c>
    </row>
    <row r="22" spans="1:5" ht="38.25" x14ac:dyDescent="0.2">
      <c r="A22" s="15" t="s">
        <v>174</v>
      </c>
      <c r="B22" s="15" t="s">
        <v>243</v>
      </c>
      <c r="C22" s="15" t="s">
        <v>244</v>
      </c>
      <c r="D22" s="15" t="s">
        <v>245</v>
      </c>
      <c r="E22" s="15" t="s">
        <v>177</v>
      </c>
    </row>
    <row r="23" spans="1:5" ht="38.25" x14ac:dyDescent="0.2">
      <c r="A23" s="15" t="s">
        <v>174</v>
      </c>
      <c r="B23" s="15" t="s">
        <v>248</v>
      </c>
      <c r="C23" s="15" t="s">
        <v>246</v>
      </c>
      <c r="D23" s="15" t="s">
        <v>247</v>
      </c>
      <c r="E23" s="15" t="s">
        <v>177</v>
      </c>
    </row>
    <row r="24" spans="1:5" ht="38.25" x14ac:dyDescent="0.2">
      <c r="A24" s="15" t="s">
        <v>174</v>
      </c>
      <c r="B24" s="15" t="s">
        <v>249</v>
      </c>
      <c r="C24" s="15" t="s">
        <v>250</v>
      </c>
      <c r="D24" s="15" t="s">
        <v>251</v>
      </c>
      <c r="E24" s="15" t="s">
        <v>177</v>
      </c>
    </row>
    <row r="25" spans="1:5" ht="51" x14ac:dyDescent="0.2">
      <c r="A25" s="15" t="s">
        <v>174</v>
      </c>
      <c r="B25" s="15" t="s">
        <v>253</v>
      </c>
      <c r="C25" s="15" t="s">
        <v>254</v>
      </c>
      <c r="D25" s="15" t="s">
        <v>255</v>
      </c>
      <c r="E25" s="15" t="s">
        <v>177</v>
      </c>
    </row>
    <row r="26" spans="1:5" ht="38.25" x14ac:dyDescent="0.2">
      <c r="A26" s="15" t="s">
        <v>174</v>
      </c>
      <c r="B26" s="15" t="s">
        <v>270</v>
      </c>
      <c r="C26" s="15" t="s">
        <v>271</v>
      </c>
      <c r="D26" s="15" t="s">
        <v>272</v>
      </c>
      <c r="E26" s="15" t="s">
        <v>177</v>
      </c>
    </row>
    <row r="27" spans="1:5" ht="38.25" x14ac:dyDescent="0.2">
      <c r="A27" s="15" t="s">
        <v>174</v>
      </c>
      <c r="B27" s="15" t="s">
        <v>284</v>
      </c>
      <c r="C27" s="15" t="s">
        <v>285</v>
      </c>
      <c r="D27" s="15" t="s">
        <v>286</v>
      </c>
      <c r="E27" s="15" t="s">
        <v>177</v>
      </c>
    </row>
    <row r="28" spans="1:5" ht="38.25" x14ac:dyDescent="0.2">
      <c r="A28" s="15" t="s">
        <v>174</v>
      </c>
      <c r="B28" s="15" t="s">
        <v>290</v>
      </c>
      <c r="C28" s="15" t="s">
        <v>291</v>
      </c>
      <c r="D28" s="15" t="s">
        <v>292</v>
      </c>
      <c r="E28" s="15" t="s">
        <v>177</v>
      </c>
    </row>
    <row r="29" spans="1:5" ht="51" x14ac:dyDescent="0.2">
      <c r="A29" s="15" t="s">
        <v>174</v>
      </c>
      <c r="B29" s="15" t="s">
        <v>296</v>
      </c>
      <c r="C29" s="15" t="s">
        <v>323</v>
      </c>
      <c r="D29" s="15" t="s">
        <v>295</v>
      </c>
      <c r="E29" s="15" t="s">
        <v>177</v>
      </c>
    </row>
    <row r="30" spans="1:5" ht="51" x14ac:dyDescent="0.2">
      <c r="A30" s="15" t="s">
        <v>174</v>
      </c>
      <c r="B30" s="15" t="s">
        <v>299</v>
      </c>
      <c r="C30" s="15" t="s">
        <v>300</v>
      </c>
      <c r="D30" s="15" t="s">
        <v>301</v>
      </c>
      <c r="E30" s="15" t="s">
        <v>177</v>
      </c>
    </row>
    <row r="31" spans="1:5" ht="38.25" x14ac:dyDescent="0.2">
      <c r="A31" s="15" t="s">
        <v>174</v>
      </c>
      <c r="B31" s="15" t="s">
        <v>302</v>
      </c>
      <c r="C31" s="15" t="s">
        <v>303</v>
      </c>
      <c r="D31" s="15" t="s">
        <v>315</v>
      </c>
      <c r="E31" s="15" t="s">
        <v>177</v>
      </c>
    </row>
    <row r="32" spans="1:5" ht="51" x14ac:dyDescent="0.2">
      <c r="A32" s="15" t="s">
        <v>174</v>
      </c>
      <c r="B32" s="15" t="s">
        <v>304</v>
      </c>
      <c r="C32" s="15" t="s">
        <v>305</v>
      </c>
      <c r="D32" s="15" t="s">
        <v>316</v>
      </c>
      <c r="E32" s="15" t="s">
        <v>177</v>
      </c>
    </row>
    <row r="33" spans="1:5" ht="89.25" x14ac:dyDescent="0.2">
      <c r="A33" s="15" t="s">
        <v>174</v>
      </c>
      <c r="B33" s="15" t="s">
        <v>306</v>
      </c>
      <c r="C33" s="15" t="s">
        <v>309</v>
      </c>
      <c r="D33" s="15" t="s">
        <v>307</v>
      </c>
      <c r="E33" s="15" t="s">
        <v>177</v>
      </c>
    </row>
    <row r="34" spans="1:5" ht="51" x14ac:dyDescent="0.2">
      <c r="A34" s="15" t="s">
        <v>174</v>
      </c>
      <c r="B34" s="15" t="s">
        <v>308</v>
      </c>
      <c r="C34" s="15" t="s">
        <v>310</v>
      </c>
      <c r="D34" s="15" t="s">
        <v>314</v>
      </c>
      <c r="E34" s="15" t="s">
        <v>177</v>
      </c>
    </row>
    <row r="35" spans="1:5" ht="25.5" x14ac:dyDescent="0.2">
      <c r="A35" s="15" t="s">
        <v>174</v>
      </c>
      <c r="B35" s="15" t="s">
        <v>311</v>
      </c>
      <c r="C35" s="15" t="s">
        <v>312</v>
      </c>
      <c r="D35" s="15" t="s">
        <v>313</v>
      </c>
      <c r="E35" s="15" t="s">
        <v>177</v>
      </c>
    </row>
    <row r="36" spans="1:5" ht="25.5" x14ac:dyDescent="0.2">
      <c r="A36" s="15" t="s">
        <v>174</v>
      </c>
      <c r="B36" s="15" t="s">
        <v>320</v>
      </c>
      <c r="C36" s="15" t="s">
        <v>321</v>
      </c>
      <c r="D36" s="15" t="s">
        <v>322</v>
      </c>
      <c r="E36" s="15" t="s">
        <v>177</v>
      </c>
    </row>
    <row r="37" spans="1:5" ht="63.75" x14ac:dyDescent="0.2">
      <c r="A37" s="15" t="s">
        <v>174</v>
      </c>
      <c r="B37" s="15" t="s">
        <v>327</v>
      </c>
      <c r="C37" s="15" t="s">
        <v>328</v>
      </c>
      <c r="D37" s="15" t="s">
        <v>329</v>
      </c>
      <c r="E37" s="15" t="s">
        <v>177</v>
      </c>
    </row>
    <row r="38" spans="1:5" ht="38.25" x14ac:dyDescent="0.2">
      <c r="A38" s="15" t="s">
        <v>174</v>
      </c>
      <c r="B38" s="15" t="s">
        <v>325</v>
      </c>
      <c r="C38" s="15" t="s">
        <v>324</v>
      </c>
      <c r="D38" s="15" t="s">
        <v>326</v>
      </c>
      <c r="E38" s="15" t="s">
        <v>177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44"/>
  <sheetViews>
    <sheetView workbookViewId="0">
      <pane xSplit="2" ySplit="1" topLeftCell="C8" activePane="bottomRight" state="frozen"/>
      <selection pane="topRight" activeCell="C1" sqref="C1"/>
      <selection pane="bottomLeft" activeCell="A2" sqref="A2"/>
      <selection pane="bottomRight" activeCell="J17" sqref="J17"/>
    </sheetView>
  </sheetViews>
  <sheetFormatPr baseColWidth="10" defaultRowHeight="12.75" x14ac:dyDescent="0.2"/>
  <cols>
    <col min="1" max="1" width="11.42578125" style="1"/>
    <col min="2" max="2" width="12" style="11" customWidth="1"/>
    <col min="3" max="3" width="46.42578125" style="1" bestFit="1" customWidth="1"/>
    <col min="4" max="4" width="38.28515625" style="1" bestFit="1" customWidth="1"/>
    <col min="5" max="5" width="12.140625" style="1" bestFit="1" customWidth="1"/>
    <col min="6" max="6" width="43.7109375" style="1" bestFit="1" customWidth="1"/>
    <col min="7" max="16384" width="11.42578125" style="1"/>
  </cols>
  <sheetData>
    <row r="1" spans="2:6" s="26" customFormat="1" ht="26.25" customHeight="1" x14ac:dyDescent="0.2">
      <c r="B1" s="30" t="s">
        <v>163</v>
      </c>
      <c r="C1" s="30" t="s">
        <v>194</v>
      </c>
      <c r="D1" s="30" t="s">
        <v>195</v>
      </c>
      <c r="E1" s="30" t="s">
        <v>196</v>
      </c>
      <c r="F1" s="30" t="s">
        <v>197</v>
      </c>
    </row>
    <row r="2" spans="2:6" s="27" customFormat="1" ht="26.25" customHeight="1" x14ac:dyDescent="0.2">
      <c r="B2" s="31" t="s">
        <v>166</v>
      </c>
      <c r="C2" s="32" t="s">
        <v>204</v>
      </c>
      <c r="D2" s="32" t="s">
        <v>202</v>
      </c>
      <c r="E2" s="32" t="s">
        <v>201</v>
      </c>
      <c r="F2" s="32" t="str">
        <f>Exigences!B2</f>
        <v>EX_FONCT_01_CONTROLE_DE_VALIDITE</v>
      </c>
    </row>
    <row r="3" spans="2:6" s="27" customFormat="1" ht="76.5" x14ac:dyDescent="0.2">
      <c r="B3" s="31" t="s">
        <v>174</v>
      </c>
      <c r="C3" s="32" t="s">
        <v>205</v>
      </c>
      <c r="D3" s="32" t="s">
        <v>216</v>
      </c>
      <c r="E3" s="32" t="s">
        <v>201</v>
      </c>
      <c r="F3" s="32"/>
    </row>
    <row r="4" spans="2:6" s="27" customFormat="1" ht="40.5" customHeight="1" x14ac:dyDescent="0.2">
      <c r="B4" s="31" t="s">
        <v>166</v>
      </c>
      <c r="C4" s="32" t="s">
        <v>217</v>
      </c>
      <c r="D4" s="32" t="str">
        <f>Exigences!D4</f>
        <v>L'application cible doit fournir des rapports de contrôle expliquant le résultat de tous ses contrôles et traitements</v>
      </c>
      <c r="E4" s="32" t="s">
        <v>201</v>
      </c>
      <c r="F4" s="32" t="str">
        <f>Exigences!B4</f>
        <v>EX_FONCT_03_RAPPORT_CONTROLE</v>
      </c>
    </row>
    <row r="5" spans="2:6" s="27" customFormat="1" ht="40.5" customHeight="1" x14ac:dyDescent="0.2">
      <c r="B5" s="31" t="s">
        <v>166</v>
      </c>
      <c r="C5" s="32" t="s">
        <v>241</v>
      </c>
      <c r="D5" s="32" t="s">
        <v>242</v>
      </c>
      <c r="E5" s="32" t="s">
        <v>201</v>
      </c>
      <c r="F5" s="32" t="str">
        <f>Exigences!B7</f>
        <v>EX_FONCT_06_REGLE_ART</v>
      </c>
    </row>
    <row r="6" spans="2:6" s="27" customFormat="1" ht="46.5" customHeight="1" x14ac:dyDescent="0.2">
      <c r="B6" s="31" t="s">
        <v>166</v>
      </c>
      <c r="C6" s="32" t="s">
        <v>206</v>
      </c>
      <c r="D6" s="32" t="str">
        <f>Exigences!D3</f>
        <v>L'application cible doit contrôler que les données métier satisfont à des règles de gestion</v>
      </c>
      <c r="E6" s="32" t="s">
        <v>201</v>
      </c>
      <c r="F6" s="32" t="str">
        <f>Exigences!B3</f>
        <v>EX_FONCT_02_CONTROLE_METIER</v>
      </c>
    </row>
    <row r="7" spans="2:6" s="27" customFormat="1" ht="43.5" customHeight="1" x14ac:dyDescent="0.2">
      <c r="B7" s="31" t="s">
        <v>166</v>
      </c>
      <c r="C7" s="32" t="s">
        <v>207</v>
      </c>
      <c r="D7" s="32" t="s">
        <v>203</v>
      </c>
      <c r="E7" s="32" t="s">
        <v>201</v>
      </c>
      <c r="F7" s="32" t="str">
        <f>Exigences!B16</f>
        <v>EX_TEC_05_FICHIER_TEXTE</v>
      </c>
    </row>
    <row r="8" spans="2:6" s="27" customFormat="1" ht="37.5" customHeight="1" x14ac:dyDescent="0.2">
      <c r="B8" s="31" t="s">
        <v>174</v>
      </c>
      <c r="C8" s="32" t="s">
        <v>208</v>
      </c>
      <c r="D8" s="32" t="str">
        <f>Exigences!C17</f>
        <v>Tous les fichiers gérés par l'application doivent être transcodés en interne en UTF-8.</v>
      </c>
      <c r="E8" s="32" t="s">
        <v>201</v>
      </c>
      <c r="F8" s="32" t="str">
        <f>Exigences!B17</f>
        <v>EX_TEC_06_TRAITEMENT_ENCODAGE_UTF8</v>
      </c>
    </row>
    <row r="9" spans="2:6" s="27" customFormat="1" ht="43.5" customHeight="1" x14ac:dyDescent="0.2">
      <c r="B9" s="31" t="s">
        <v>174</v>
      </c>
      <c r="C9" s="32" t="s">
        <v>209</v>
      </c>
      <c r="D9" s="32" t="str">
        <f>Exigences!D18</f>
        <v>L'application cible doit contrôler que les fichiers internes sont encodés en UTF-8</v>
      </c>
      <c r="E9" s="32" t="s">
        <v>201</v>
      </c>
      <c r="F9" s="32" t="str">
        <f>Exigences!B18</f>
        <v>EX_TEC_07_CONTROLE_ENCODAGE_UTF8</v>
      </c>
    </row>
    <row r="10" spans="2:6" s="27" customFormat="1" ht="51" x14ac:dyDescent="0.2">
      <c r="B10" s="31" t="s">
        <v>166</v>
      </c>
      <c r="C10" s="32" t="s">
        <v>229</v>
      </c>
      <c r="D10" s="32" t="str">
        <f>Exigences!D19</f>
        <v>L'application cible doit détecter le type du fichier entrant (HIT, HISTO_F07, DARWIN, …) et n'accepter en entrée que ces types de fichiers trafic</v>
      </c>
      <c r="E10" s="32" t="s">
        <v>201</v>
      </c>
      <c r="F10" s="32" t="str">
        <f>Exigences!B19</f>
        <v>EX_TEC_08_DETECTION_TYPE_FICHIER</v>
      </c>
    </row>
    <row r="11" spans="2:6" s="27" customFormat="1" ht="76.5" x14ac:dyDescent="0.2">
      <c r="B11" s="31" t="s">
        <v>174</v>
      </c>
      <c r="C11" s="32" t="s">
        <v>278</v>
      </c>
      <c r="D11" s="32" t="s">
        <v>215</v>
      </c>
      <c r="E11" s="32" t="s">
        <v>201</v>
      </c>
      <c r="F11" s="32" t="str">
        <f>Exigences!B20</f>
        <v>EX_TEC_09_FICHIER_SANS_DOUBLONS_LIGNE</v>
      </c>
    </row>
    <row r="12" spans="2:6" s="27" customFormat="1" ht="56.25" customHeight="1" x14ac:dyDescent="0.2">
      <c r="B12" s="31" t="s">
        <v>174</v>
      </c>
      <c r="C12" s="32" t="s">
        <v>279</v>
      </c>
      <c r="D12" s="32" t="s">
        <v>214</v>
      </c>
      <c r="E12" s="32" t="s">
        <v>201</v>
      </c>
      <c r="F12" s="32" t="str">
        <f>Exigences!B21</f>
        <v>EX_TEC_10_FICHIER_SANS_LIGNES_VIDES</v>
      </c>
    </row>
    <row r="13" spans="2:6" s="28" customFormat="1" ht="63.75" x14ac:dyDescent="0.2">
      <c r="B13" s="31" t="s">
        <v>166</v>
      </c>
      <c r="C13" s="32" t="s">
        <v>280</v>
      </c>
      <c r="D13" s="32" t="s">
        <v>273</v>
      </c>
      <c r="E13" s="32" t="s">
        <v>201</v>
      </c>
      <c r="F13" s="32" t="str">
        <f>Exigences!B26</f>
        <v>EX_TEC_15_CHAMPS_REDHIBITOIRES</v>
      </c>
    </row>
    <row r="14" spans="2:6" s="28" customFormat="1" ht="25.5" x14ac:dyDescent="0.2">
      <c r="B14" s="31" t="s">
        <v>166</v>
      </c>
      <c r="C14" s="32" t="s">
        <v>193</v>
      </c>
      <c r="D14" s="32" t="s">
        <v>192</v>
      </c>
      <c r="E14" s="32" t="s">
        <v>198</v>
      </c>
      <c r="F14" s="32" t="str">
        <f>Exigences!B19</f>
        <v>EX_TEC_08_DETECTION_TYPE_FICHIER</v>
      </c>
    </row>
    <row r="15" spans="2:6" ht="31.5" customHeight="1" x14ac:dyDescent="0.2">
      <c r="B15" s="33" t="s">
        <v>166</v>
      </c>
      <c r="C15" s="34" t="s">
        <v>269</v>
      </c>
      <c r="D15" s="34" t="s">
        <v>277</v>
      </c>
      <c r="E15" s="34" t="s">
        <v>201</v>
      </c>
      <c r="F15" s="34" t="str">
        <f>Exigences!B8</f>
        <v>EX_FONCT_07_CONTROLES_PARAMETRABLES</v>
      </c>
    </row>
    <row r="16" spans="2:6" ht="63.75" x14ac:dyDescent="0.2">
      <c r="B16" s="33" t="s">
        <v>166</v>
      </c>
      <c r="C16" s="34" t="s">
        <v>287</v>
      </c>
      <c r="D16" s="34" t="s">
        <v>288</v>
      </c>
      <c r="E16" s="34" t="s">
        <v>201</v>
      </c>
      <c r="F16" s="34" t="str">
        <f>Exigences!B27</f>
        <v>EX_TEC_16_ANNEE_EXPLOITATION</v>
      </c>
    </row>
    <row r="17" spans="2:6" ht="63.75" x14ac:dyDescent="0.2">
      <c r="B17" s="33" t="s">
        <v>166</v>
      </c>
      <c r="C17" s="34" t="s">
        <v>293</v>
      </c>
      <c r="D17" s="34" t="s">
        <v>294</v>
      </c>
      <c r="E17" s="34" t="s">
        <v>201</v>
      </c>
      <c r="F17" s="34" t="str">
        <f>Exigences!B28</f>
        <v>EX_TEC_17_LOCALISATIONS_RENSEIGNEES</v>
      </c>
    </row>
    <row r="18" spans="2:6" ht="76.5" x14ac:dyDescent="0.2">
      <c r="B18" s="33" t="s">
        <v>166</v>
      </c>
      <c r="C18" s="34" t="s">
        <v>297</v>
      </c>
      <c r="D18" s="34" t="s">
        <v>298</v>
      </c>
      <c r="E18" s="34" t="s">
        <v>201</v>
      </c>
      <c r="F18" s="34" t="str">
        <f>Exigences!B29</f>
        <v>EX_TEC_18_SENS_CONFONDUS</v>
      </c>
    </row>
    <row r="19" spans="2:6" x14ac:dyDescent="0.2">
      <c r="C19" s="29"/>
      <c r="D19" s="29"/>
      <c r="E19" s="29"/>
      <c r="F19" s="29"/>
    </row>
    <row r="20" spans="2:6" x14ac:dyDescent="0.2">
      <c r="C20" s="29"/>
      <c r="D20" s="29"/>
      <c r="E20" s="29"/>
      <c r="F20" s="29"/>
    </row>
    <row r="21" spans="2:6" x14ac:dyDescent="0.2">
      <c r="C21" s="29"/>
      <c r="D21" s="29"/>
      <c r="E21" s="29"/>
      <c r="F21" s="29"/>
    </row>
    <row r="22" spans="2:6" x14ac:dyDescent="0.2">
      <c r="C22" s="29"/>
      <c r="D22" s="29"/>
      <c r="E22" s="29"/>
      <c r="F22" s="29"/>
    </row>
    <row r="23" spans="2:6" x14ac:dyDescent="0.2">
      <c r="C23" s="29"/>
      <c r="D23" s="29"/>
      <c r="E23" s="29"/>
      <c r="F23" s="29"/>
    </row>
    <row r="24" spans="2:6" x14ac:dyDescent="0.2">
      <c r="C24" s="29"/>
      <c r="D24" s="29"/>
      <c r="E24" s="29"/>
      <c r="F24" s="29"/>
    </row>
    <row r="25" spans="2:6" x14ac:dyDescent="0.2">
      <c r="C25" s="29"/>
      <c r="D25" s="29"/>
      <c r="E25" s="29"/>
      <c r="F25" s="29"/>
    </row>
    <row r="26" spans="2:6" x14ac:dyDescent="0.2">
      <c r="C26" s="29"/>
      <c r="D26" s="29"/>
      <c r="E26" s="29"/>
      <c r="F26" s="29"/>
    </row>
    <row r="27" spans="2:6" x14ac:dyDescent="0.2">
      <c r="C27" s="29"/>
      <c r="D27" s="29"/>
      <c r="E27" s="29"/>
      <c r="F27" s="29"/>
    </row>
    <row r="28" spans="2:6" x14ac:dyDescent="0.2">
      <c r="C28" s="29"/>
      <c r="D28" s="29"/>
      <c r="E28" s="29"/>
      <c r="F28" s="29"/>
    </row>
    <row r="29" spans="2:6" x14ac:dyDescent="0.2">
      <c r="C29" s="29"/>
      <c r="D29" s="29"/>
      <c r="E29" s="29"/>
      <c r="F29" s="29"/>
    </row>
    <row r="30" spans="2:6" x14ac:dyDescent="0.2">
      <c r="C30" s="29"/>
      <c r="D30" s="29"/>
      <c r="E30" s="29"/>
      <c r="F30" s="29"/>
    </row>
    <row r="31" spans="2:6" x14ac:dyDescent="0.2">
      <c r="C31" s="29"/>
      <c r="D31" s="29"/>
      <c r="E31" s="29"/>
      <c r="F31" s="29"/>
    </row>
    <row r="32" spans="2:6" x14ac:dyDescent="0.2">
      <c r="C32" s="29"/>
      <c r="D32" s="29"/>
      <c r="E32" s="29"/>
      <c r="F32" s="29"/>
    </row>
    <row r="33" spans="3:6" x14ac:dyDescent="0.2">
      <c r="C33" s="29"/>
      <c r="D33" s="29"/>
      <c r="E33" s="29"/>
      <c r="F33" s="29"/>
    </row>
    <row r="34" spans="3:6" x14ac:dyDescent="0.2">
      <c r="C34" s="29"/>
      <c r="D34" s="29"/>
      <c r="E34" s="29"/>
      <c r="F34" s="29"/>
    </row>
    <row r="35" spans="3:6" x14ac:dyDescent="0.2">
      <c r="C35" s="29"/>
      <c r="D35" s="29"/>
      <c r="E35" s="29"/>
      <c r="F35" s="29"/>
    </row>
    <row r="36" spans="3:6" x14ac:dyDescent="0.2">
      <c r="C36" s="29"/>
      <c r="D36" s="29"/>
      <c r="E36" s="29"/>
      <c r="F36" s="29"/>
    </row>
    <row r="37" spans="3:6" x14ac:dyDescent="0.2">
      <c r="C37" s="29"/>
      <c r="D37" s="29"/>
      <c r="E37" s="29"/>
      <c r="F37" s="29"/>
    </row>
    <row r="38" spans="3:6" x14ac:dyDescent="0.2">
      <c r="C38" s="29"/>
      <c r="D38" s="29"/>
      <c r="E38" s="29"/>
      <c r="F38" s="29"/>
    </row>
    <row r="39" spans="3:6" x14ac:dyDescent="0.2">
      <c r="C39" s="29"/>
      <c r="D39" s="29"/>
      <c r="F39" s="29"/>
    </row>
    <row r="40" spans="3:6" x14ac:dyDescent="0.2">
      <c r="C40" s="29"/>
      <c r="D40" s="29"/>
      <c r="F40" s="29"/>
    </row>
    <row r="41" spans="3:6" x14ac:dyDescent="0.2">
      <c r="C41" s="29"/>
      <c r="D41" s="29"/>
    </row>
    <row r="42" spans="3:6" x14ac:dyDescent="0.2">
      <c r="C42" s="29"/>
      <c r="D42" s="29"/>
    </row>
    <row r="43" spans="3:6" x14ac:dyDescent="0.2">
      <c r="C43" s="29"/>
      <c r="D43" s="29"/>
    </row>
    <row r="44" spans="3:6" x14ac:dyDescent="0.2">
      <c r="C44" s="29"/>
      <c r="D44"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Types de contrôles</vt:lpstr>
      <vt:lpstr>Etude_Types</vt:lpstr>
      <vt:lpstr>Lieux</vt:lpstr>
      <vt:lpstr>Niveaux</vt:lpstr>
      <vt:lpstr>Type</vt:lpstr>
      <vt:lpstr>Concepts</vt:lpstr>
      <vt:lpstr>Exigences</vt:lpstr>
      <vt:lpstr>RG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Lévy</dc:creator>
  <cp:lastModifiedBy>daniel Lévy</cp:lastModifiedBy>
  <dcterms:created xsi:type="dcterms:W3CDTF">2016-04-18T15:48:10Z</dcterms:created>
  <dcterms:modified xsi:type="dcterms:W3CDTF">2016-05-22T10:23:56Z</dcterms:modified>
</cp:coreProperties>
</file>